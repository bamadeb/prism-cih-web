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ient Side" sheetId="2" state="visible" r:id="rId2"/>
    <sheet name="Server Side" sheetId="3" state="visible" r:id="rId3"/>
  </sheets>
  <definedNames>
    <definedName name="_xlnm._FilterDatabase" localSheetId="1" hidden="1">'Client Side'!$A$1:$F$115</definedName>
    <definedName name="_xlnm._FilterDatabase" localSheetId="2" hidden="1">'Server Side'!$A$1:$F$83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4"/>
    </font>
    <font>
      <name val="Arial"/>
      <i val="1"/>
      <sz val="9"/>
    </font>
    <font>
      <name val="Arial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PRISM CIH Web - Validation Checklist</t>
        </is>
      </c>
    </row>
    <row r="2">
      <c r="A2" s="2" t="inlineStr">
        <is>
          <t>Checked against dev branch working tree on 2026-10-06. Status and Priority columns on the detail tabs are editable dropdowns; this summary recalculates from them.</t>
        </is>
      </c>
    </row>
    <row r="4">
      <c r="A4" s="3" t="inlineStr">
        <is>
          <t>Side</t>
        </is>
      </c>
      <c r="B4" s="3" t="inlineStr">
        <is>
          <t>Done</t>
        </is>
      </c>
      <c r="C4" s="3" t="inlineStr">
        <is>
          <t>Partial</t>
        </is>
      </c>
      <c r="D4" s="3" t="inlineStr">
        <is>
          <t>To Do</t>
        </is>
      </c>
      <c r="E4" s="3" t="inlineStr">
        <is>
          <t>Total</t>
        </is>
      </c>
      <c r="F4" s="3" t="inlineStr">
        <is>
          <t>% Done</t>
        </is>
      </c>
      <c r="G4" s="3" t="inlineStr">
        <is>
          <t>Open P1</t>
        </is>
      </c>
    </row>
    <row r="5">
      <c r="A5" s="4" t="inlineStr">
        <is>
          <t>Client Side</t>
        </is>
      </c>
      <c r="B5" s="4">
        <f>COUNTIF('Client Side'!$D$2:$D$115,"Done")</f>
        <v/>
      </c>
      <c r="C5" s="4">
        <f>COUNTIF('Client Side'!$D$2:$D$115,"Partial")</f>
        <v/>
      </c>
      <c r="D5" s="4">
        <f>COUNTIF('Client Side'!$D$2:$D$115,"To Do")</f>
        <v/>
      </c>
      <c r="E5" s="4">
        <f>SUM(B5:D5)</f>
        <v/>
      </c>
      <c r="F5" s="5">
        <f>IF(E5=0,0,B5/E5)</f>
        <v/>
      </c>
      <c r="G5" s="4">
        <f>COUNTIFS('Client Side'!$E$2:$E$115,"P1",'Client Side'!$D$2:$D$115,"&lt;&gt;Done")</f>
        <v/>
      </c>
    </row>
    <row r="6">
      <c r="A6" s="4" t="inlineStr">
        <is>
          <t>Server Side</t>
        </is>
      </c>
      <c r="B6" s="4">
        <f>COUNTIF('Server Side'!$D$2:$D$83,"Done")</f>
        <v/>
      </c>
      <c r="C6" s="4">
        <f>COUNTIF('Server Side'!$D$2:$D$83,"Partial")</f>
        <v/>
      </c>
      <c r="D6" s="4">
        <f>COUNTIF('Server Side'!$D$2:$D$83,"To Do")</f>
        <v/>
      </c>
      <c r="E6" s="4">
        <f>SUM(B6:D6)</f>
        <v/>
      </c>
      <c r="F6" s="5">
        <f>IF(E6=0,0,B6/E6)</f>
        <v/>
      </c>
      <c r="G6" s="4">
        <f>COUNTIFS('Server Side'!$E$2:$E$83,"P1",'Server Side'!$D$2:$D$83,"&lt;&gt;Done")</f>
        <v/>
      </c>
    </row>
    <row r="7">
      <c r="A7" s="6" t="inlineStr">
        <is>
          <t>Total</t>
        </is>
      </c>
      <c r="B7" s="6">
        <f>SUM(B5:B6)</f>
        <v/>
      </c>
      <c r="C7" s="6">
        <f>SUM(C5:C6)</f>
        <v/>
      </c>
      <c r="D7" s="6">
        <f>SUM(D5:D6)</f>
        <v/>
      </c>
      <c r="E7" s="6">
        <f>SUM(E5:E6)</f>
        <v/>
      </c>
      <c r="F7" s="7">
        <f>IF(E7=0,0,B7/E7)</f>
        <v/>
      </c>
      <c r="G7" s="6">
        <f>SUM(G5:G6)</f>
        <v/>
      </c>
    </row>
    <row r="9">
      <c r="A9" s="8" t="inlineStr">
        <is>
          <t>Legend</t>
        </is>
      </c>
    </row>
    <row r="10">
      <c r="A10" s="9" t="inlineStr">
        <is>
          <t>Done</t>
        </is>
      </c>
      <c r="B10" s="10" t="inlineStr">
        <is>
          <t>Implemented</t>
        </is>
      </c>
    </row>
    <row r="11">
      <c r="A11" s="11" t="inlineStr">
        <is>
          <t>Partial</t>
        </is>
      </c>
      <c r="B11" s="10" t="inlineStr">
        <is>
          <t>Partly implemented or inconsistent</t>
        </is>
      </c>
    </row>
    <row r="12">
      <c r="A12" s="12" t="inlineStr">
        <is>
          <t>To Do</t>
        </is>
      </c>
      <c r="B12" s="10" t="inlineStr">
        <is>
          <t>Missing</t>
        </is>
      </c>
    </row>
    <row r="13">
      <c r="A13" s="8" t="inlineStr">
        <is>
          <t>P1</t>
        </is>
      </c>
      <c r="B13" s="10" t="inlineStr">
        <is>
          <t>Security hole - fix first</t>
        </is>
      </c>
    </row>
    <row r="14">
      <c r="A14" s="8" t="inlineStr">
        <is>
          <t>P2</t>
        </is>
      </c>
      <c r="B14" s="10" t="inlineStr">
        <is>
          <t>Data integrity / policy gap</t>
        </is>
      </c>
    </row>
    <row r="15">
      <c r="A15" s="8" t="inlineStr">
        <is>
          <t>P3</t>
        </is>
      </c>
      <c r="B15" s="10" t="inlineStr">
        <is>
          <t>UX / hygiene</t>
        </is>
      </c>
    </row>
    <row r="17">
      <c r="A17" s="8" t="inlineStr">
        <is>
          <t>Corrections vs. VALIDATION_AUDIT.md (2026-10-03)</t>
        </is>
      </c>
    </row>
    <row r="18">
      <c r="A18" s="13" t="inlineStr">
        <is>
          <t>- prismUploadplandocument: auth/owner check, directory allow-list, id/env checks are NOT implemented (audit said Done).</t>
        </is>
      </c>
    </row>
    <row r="19">
      <c r="A19" s="13" t="inlineStr">
        <is>
          <t>- prismGetattachmentListbytypeId: source now in repo; no auth/owner check, no type allow-list.</t>
        </is>
      </c>
    </row>
    <row r="20">
      <c r="A20" s="13" t="inlineStr">
        <is>
          <t>- prismdeleteAttachment: new replace_url path validates own-bucket URL; still no auth/owner check.</t>
        </is>
      </c>
    </row>
  </sheetData>
  <mergeCells count="1"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52" customWidth="1" min="3" max="3"/>
    <col width="10" customWidth="1" min="4" max="4"/>
    <col width="9" customWidth="1" min="5" max="5"/>
    <col width="60" customWidth="1" min="6" max="6"/>
  </cols>
  <sheetData>
    <row r="1">
      <c r="A1" s="14" t="inlineStr">
        <is>
          <t>#</t>
        </is>
      </c>
      <c r="B1" s="14" t="inlineStr">
        <is>
          <t>Page / Area</t>
        </is>
      </c>
      <c r="C1" s="14" t="inlineStr">
        <is>
          <t>Validation / Restriction</t>
        </is>
      </c>
      <c r="D1" s="14" t="inlineStr">
        <is>
          <t>Status</t>
        </is>
      </c>
      <c r="E1" s="14" t="inlineStr">
        <is>
          <t>Priority</t>
        </is>
      </c>
      <c r="F1" s="14" t="inlineStr">
        <is>
          <t>Where / Notes</t>
        </is>
      </c>
    </row>
    <row r="2">
      <c r="A2" s="15" t="n">
        <v>1</v>
      </c>
      <c r="B2" s="15" t="inlineStr">
        <is>
          <t>Login</t>
        </is>
      </c>
      <c r="C2" s="15" t="inlineStr">
        <is>
          <t>Username &amp; password required</t>
        </is>
      </c>
      <c r="D2" s="15" t="inlineStr">
        <is>
          <t>Done</t>
        </is>
      </c>
      <c r="E2" s="15" t="inlineStr">
        <is>
          <t>-</t>
        </is>
      </c>
      <c r="F2" s="15" t="inlineStr">
        <is>
          <t>HTML required</t>
        </is>
      </c>
    </row>
    <row r="3">
      <c r="A3" s="15" t="n">
        <v>2</v>
      </c>
      <c r="B3" s="15" t="inlineStr">
        <is>
          <t>Login</t>
        </is>
      </c>
      <c r="C3" s="15" t="inlineStr">
        <is>
          <t>OTP exactly 6 digits</t>
        </is>
      </c>
      <c r="D3" s="15" t="inlineStr">
        <is>
          <t>Done</t>
        </is>
      </c>
      <c r="E3" s="15" t="inlineStr">
        <is>
          <t>-</t>
        </is>
      </c>
      <c r="F3" s="15" t="inlineStr">
        <is>
          <t>maxlength=6, pattern, auto-submit</t>
        </is>
      </c>
    </row>
    <row r="4">
      <c r="A4" s="15" t="n">
        <v>3</v>
      </c>
      <c r="B4" s="15" t="inlineStr">
        <is>
          <t>Login</t>
        </is>
      </c>
      <c r="C4" s="15" t="inlineStr">
        <is>
          <t>MFA (TOTP setup + verify)</t>
        </is>
      </c>
      <c r="D4" s="15" t="inlineStr">
        <is>
          <t>Done</t>
        </is>
      </c>
      <c r="E4" s="15" t="inlineStr">
        <is>
          <t>-</t>
        </is>
      </c>
      <c r="F4" s="15" t="inlineStr">
        <is>
          <t>Cognito</t>
        </is>
      </c>
    </row>
    <row r="5">
      <c r="A5" s="15" t="n">
        <v>4</v>
      </c>
      <c r="B5" s="15" t="inlineStr">
        <is>
          <t>Login</t>
        </is>
      </c>
      <c r="C5" s="15" t="inlineStr">
        <is>
          <t>Failed-attempt counter + lock message</t>
        </is>
      </c>
      <c r="D5" s="15" t="inlineStr">
        <is>
          <t>Done</t>
        </is>
      </c>
      <c r="E5" s="15" t="inlineStr">
        <is>
          <t>-</t>
        </is>
      </c>
      <c r="F5" s="15" t="inlineStr">
        <is>
          <t>2026-10-06: lock message shown even if the Cognito disable call fails; loginSuccessReset moved after prismAuthentication succeeds (it was clearing LOCKED first); 423 handled. Deploy: lock route must accept calls without a token</t>
        </is>
      </c>
    </row>
    <row r="6">
      <c r="A6" s="15" t="n">
        <v>5</v>
      </c>
      <c r="B6" s="15" t="inlineStr">
        <is>
          <t>Login</t>
        </is>
      </c>
      <c r="C6" s="15" t="inlineStr">
        <is>
          <t>Username email format + trim</t>
        </is>
      </c>
      <c r="D6" s="15" t="inlineStr">
        <is>
          <t>Done</t>
        </is>
      </c>
      <c r="E6" s="15" t="inlineStr">
        <is>
          <t>-</t>
        </is>
      </c>
      <c r="F6" s="15" t="inlineStr">
        <is>
          <t>2026-10-06: trimmed + same EMAIL_RE as server; type=email, maxlength 150</t>
        </is>
      </c>
    </row>
    <row r="7">
      <c r="A7" s="15" t="n">
        <v>6</v>
      </c>
      <c r="B7" s="15" t="inlineStr">
        <is>
          <t>Login</t>
        </is>
      </c>
      <c r="C7" s="15" t="inlineStr">
        <is>
          <t>Block login when password expired</t>
        </is>
      </c>
      <c r="D7" s="15" t="inlineStr">
        <is>
          <t>Done</t>
        </is>
      </c>
      <c r="E7" s="15" t="inlineStr">
        <is>
          <t>-</t>
        </is>
      </c>
      <c r="F7" s="15" t="inlineStr">
        <is>
          <t>2026-10-06: full user (pageAccess) stored only in completeLogin(); expired user gets minimal record for /change-password only</t>
        </is>
      </c>
    </row>
    <row r="8">
      <c r="A8" s="15" t="n">
        <v>7</v>
      </c>
      <c r="B8" s="15" t="inlineStr">
        <is>
          <t>Change Password</t>
        </is>
      </c>
      <c r="C8" s="15" t="inlineStr">
        <is>
          <t>New = Confirm</t>
        </is>
      </c>
      <c r="D8" s="15" t="inlineStr">
        <is>
          <t>Done</t>
        </is>
      </c>
      <c r="E8" s="15" t="inlineStr">
        <is>
          <t>-</t>
        </is>
      </c>
      <c r="F8" s="15" t="inlineStr"/>
    </row>
    <row r="9">
      <c r="A9" s="15" t="n">
        <v>8</v>
      </c>
      <c r="B9" s="15" t="inlineStr">
        <is>
          <t>Change Password</t>
        </is>
      </c>
      <c r="C9" s="15" t="inlineStr">
        <is>
          <t>&gt;=15 chars, upper, lower, digit, special</t>
        </is>
      </c>
      <c r="D9" s="15" t="inlineStr">
        <is>
          <t>Done</t>
        </is>
      </c>
      <c r="E9" s="15" t="inlineStr">
        <is>
          <t>-</t>
        </is>
      </c>
      <c r="F9" s="15" t="inlineStr">
        <is>
          <t>validatePasswordPolicy</t>
        </is>
      </c>
    </row>
    <row r="10">
      <c r="A10" s="15" t="n">
        <v>9</v>
      </c>
      <c r="B10" s="15" t="inlineStr">
        <is>
          <t>Change Password</t>
        </is>
      </c>
      <c r="C10" s="15" t="inlineStr">
        <is>
          <t>HTML minlength matches policy</t>
        </is>
      </c>
      <c r="D10" s="15" t="inlineStr">
        <is>
          <t>Done</t>
        </is>
      </c>
      <c r="E10" s="15" t="inlineStr">
        <is>
          <t>-</t>
        </is>
      </c>
      <c r="F10" s="15" t="inlineStr">
        <is>
          <t>2026-10-07: minlength=15</t>
        </is>
      </c>
    </row>
    <row r="11">
      <c r="A11" s="15" t="n">
        <v>10</v>
      </c>
      <c r="B11" s="15" t="inlineStr">
        <is>
          <t>Change Password</t>
        </is>
      </c>
      <c r="C11" s="15" t="inlineStr">
        <is>
          <t>Special-char set matches server</t>
        </is>
      </c>
      <c r="D11" s="15" t="inlineStr">
        <is>
          <t>Done</t>
        </is>
      </c>
      <c r="E11" s="15" t="inlineStr">
        <is>
          <t>-</t>
        </is>
      </c>
      <c r="F11" s="15" t="inlineStr">
        <is>
          <t>2026-10-07: client now accepts any non-alphanumeric, same as server PASSWORD_POLICY_RE</t>
        </is>
      </c>
    </row>
    <row r="12">
      <c r="A12" s="15" t="n">
        <v>11</v>
      </c>
      <c r="B12" s="15" t="inlineStr">
        <is>
          <t>Change Password</t>
        </is>
      </c>
      <c r="C12" s="15" t="inlineStr">
        <is>
          <t>Current password required</t>
        </is>
      </c>
      <c r="D12" s="15" t="inlineStr">
        <is>
          <t>Done</t>
        </is>
      </c>
      <c r="E12" s="15" t="inlineStr">
        <is>
          <t>-</t>
        </is>
      </c>
      <c r="F12" s="15" t="inlineStr">
        <is>
          <t>2026-10-07: Current Password field, verified via prismAuthentication before changing</t>
        </is>
      </c>
    </row>
    <row r="13">
      <c r="A13" s="15" t="n">
        <v>12</v>
      </c>
      <c r="B13" s="15" t="inlineStr">
        <is>
          <t>Change Password</t>
        </is>
      </c>
      <c r="C13" s="15" t="inlineStr">
        <is>
          <t>New != old / password history</t>
        </is>
      </c>
      <c r="D13" s="15" t="inlineStr">
        <is>
          <t>Done</t>
        </is>
      </c>
      <c r="E13" s="15" t="inlineStr">
        <is>
          <t>-</t>
        </is>
      </c>
      <c r="F13" s="15" t="inlineStr">
        <is>
          <t>2026-10-07: last 5 passwords blocked. prismUserPasswordUpdate checks MEM_USER_PASSWORD_HISTORY (check_only call before Cognito change). Deploy: run lambda-functions/sql/MEM_USER_PASSWORD_HISTORY.sql + deploy lambda</t>
        </is>
      </c>
    </row>
    <row r="14">
      <c r="A14" s="15" t="n">
        <v>13</v>
      </c>
      <c r="B14" s="15" t="inlineStr">
        <is>
          <t>Change Password</t>
        </is>
      </c>
      <c r="C14" s="15" t="inlineStr">
        <is>
          <t>Password must not contain name/email</t>
        </is>
      </c>
      <c r="D14" s="15" t="inlineStr">
        <is>
          <t>Done</t>
        </is>
      </c>
      <c r="E14" s="15" t="inlineStr">
        <is>
          <t>-</t>
        </is>
      </c>
      <c r="F14" s="15" t="inlineStr">
        <is>
          <t>2026-10-07: rejects first name, last name or email local part (3+ chars, case-insensitive)</t>
        </is>
      </c>
    </row>
    <row r="15">
      <c r="A15" s="15" t="n">
        <v>14</v>
      </c>
      <c r="B15" s="15" t="inlineStr">
        <is>
          <t>Add/Edit User</t>
        </is>
      </c>
      <c r="C15" s="15" t="inlineStr">
        <is>
          <t>First/Last name required + trim</t>
        </is>
      </c>
      <c r="D15" s="15" t="inlineStr">
        <is>
          <t>Done</t>
        </is>
      </c>
      <c r="E15" s="15" t="inlineStr">
        <is>
          <t>-</t>
        </is>
      </c>
      <c r="F15" s="15" t="inlineStr"/>
    </row>
    <row r="16">
      <c r="A16" s="15" t="n">
        <v>15</v>
      </c>
      <c r="B16" s="15" t="inlineStr">
        <is>
          <t>Add/Edit User</t>
        </is>
      </c>
      <c r="C16" s="15" t="inlineStr">
        <is>
          <t>Role, Department, Status required</t>
        </is>
      </c>
      <c r="D16" s="15" t="inlineStr">
        <is>
          <t>Done</t>
        </is>
      </c>
      <c r="E16" s="15" t="inlineStr">
        <is>
          <t>-</t>
        </is>
      </c>
      <c r="F16" s="15" t="inlineStr"/>
    </row>
    <row r="17">
      <c r="A17" s="15" t="n">
        <v>16</v>
      </c>
      <c r="B17" s="15" t="inlineStr">
        <is>
          <t>Add/Edit User</t>
        </is>
      </c>
      <c r="C17" s="15" t="inlineStr">
        <is>
          <t>Duplicate email check</t>
        </is>
      </c>
      <c r="D17" s="15" t="inlineStr">
        <is>
          <t>Done</t>
        </is>
      </c>
      <c r="E17" s="15" t="inlineStr">
        <is>
          <t>-</t>
        </is>
      </c>
      <c r="F17" s="15" t="inlineStr">
        <is>
          <t>checkuserexist; server 409</t>
        </is>
      </c>
    </row>
    <row r="18">
      <c r="A18" s="15" t="n">
        <v>17</v>
      </c>
      <c r="B18" s="15" t="inlineStr">
        <is>
          <t>Add/Edit User</t>
        </is>
      </c>
      <c r="C18" s="15" t="inlineStr">
        <is>
          <t>Email format same as server</t>
        </is>
      </c>
      <c r="D18" s="15" t="inlineStr">
        <is>
          <t>Done</t>
        </is>
      </c>
      <c r="E18" s="15" t="inlineStr">
        <is>
          <t>-</t>
        </is>
      </c>
      <c r="F18" s="15" t="inlineStr">
        <is>
          <t>2026-10-07: Validators.pattern with server EMAIL_RE; trimmed on submit</t>
        </is>
      </c>
    </row>
    <row r="19">
      <c r="A19" s="15" t="n">
        <v>18</v>
      </c>
      <c r="B19" s="15" t="inlineStr">
        <is>
          <t>Add/Edit User</t>
        </is>
      </c>
      <c r="C19" s="15" t="inlineStr">
        <is>
          <t>Password policy (15 + complexity)</t>
        </is>
      </c>
      <c r="D19" s="15" t="inlineStr">
        <is>
          <t>Done</t>
        </is>
      </c>
      <c r="E19" s="15" t="inlineStr">
        <is>
          <t>-</t>
        </is>
      </c>
      <c r="F19" s="15" t="inlineStr">
        <is>
          <t>2026-10-07: shared PasswordPolicyValidator (same regex as server) on add and edit</t>
        </is>
      </c>
    </row>
    <row r="20">
      <c r="A20" s="15" t="n">
        <v>19</v>
      </c>
      <c r="B20" s="15" t="inlineStr">
        <is>
          <t>Add/Edit User</t>
        </is>
      </c>
      <c r="C20" s="15" t="inlineStr">
        <is>
          <t>Confirm password field</t>
        </is>
      </c>
      <c r="D20" s="15" t="inlineStr">
        <is>
          <t>Done</t>
        </is>
      </c>
      <c r="E20" s="15" t="inlineStr">
        <is>
          <t>-</t>
        </is>
      </c>
      <c r="F20" s="15" t="inlineStr">
        <is>
          <t>2026-10-07: CONFIRM PASSWORD field; must match (required when a password is typed)</t>
        </is>
      </c>
    </row>
    <row r="21">
      <c r="A21" s="15" t="n">
        <v>20</v>
      </c>
      <c r="B21" s="15" t="inlineStr">
        <is>
          <t>Add/Edit User</t>
        </is>
      </c>
      <c r="C21" s="15" t="inlineStr">
        <is>
          <t>Name max 100 / email max 150</t>
        </is>
      </c>
      <c r="D21" s="15" t="inlineStr">
        <is>
          <t>Done</t>
        </is>
      </c>
      <c r="E21" s="15" t="inlineStr">
        <is>
          <t>-</t>
        </is>
      </c>
      <c r="F21" s="15" t="inlineStr">
        <is>
          <t>2026-10-07: Validators.maxLength(100) names, (150) email + input maxlength</t>
        </is>
      </c>
    </row>
    <row r="22">
      <c r="A22" s="15" t="n">
        <v>21</v>
      </c>
      <c r="B22" s="15" t="inlineStr">
        <is>
          <t>Add/Edit User</t>
        </is>
      </c>
      <c r="C22" s="15" t="inlineStr">
        <is>
          <t>Name pattern (letters, space, - ')</t>
        </is>
      </c>
      <c r="D22" s="15" t="inlineStr">
        <is>
          <t>Done</t>
        </is>
      </c>
      <c r="E22" s="15" t="inlineStr">
        <is>
          <t>-</t>
        </is>
      </c>
      <c r="F22" s="15" t="inlineStr">
        <is>
          <t>2026-10-07: letters (any language), space, hyphen, apostrophe; must start with a letter</t>
        </is>
      </c>
    </row>
    <row r="23">
      <c r="A23" s="15" t="n">
        <v>22</v>
      </c>
      <c r="B23" s="15" t="inlineStr">
        <is>
          <t>Add/Edit User</t>
        </is>
      </c>
      <c r="C23" s="15" t="inlineStr">
        <is>
          <t>Block whitespace-only names</t>
        </is>
      </c>
      <c r="D23" s="15" t="inlineStr">
        <is>
          <t>Done</t>
        </is>
      </c>
      <c r="E23" s="15" t="inlineStr">
        <is>
          <t>-</t>
        </is>
      </c>
      <c r="F23" s="15" t="inlineStr">
        <is>
          <t>2026-10-07: nameValidator rejects whitespace-only; values trimmed on submit</t>
        </is>
      </c>
    </row>
    <row r="24">
      <c r="A24" s="15" t="n">
        <v>23</v>
      </c>
      <c r="B24" s="15" t="inlineStr">
        <is>
          <t>Add/Edit User</t>
        </is>
      </c>
      <c r="C24" s="15" t="inlineStr">
        <is>
          <t>Admin cannot deactivate self / remove own Admin</t>
        </is>
      </c>
      <c r="D24" s="15" t="inlineStr">
        <is>
          <t>Done</t>
        </is>
      </c>
      <c r="E24" s="15" t="inlineStr">
        <is>
          <t>-</t>
        </is>
      </c>
      <c r="F24" s="15" t="inlineStr">
        <is>
          <t>2026-10-07: editing own account disables Role and Status; submit also blocks own role/status change and removing own Admin role</t>
        </is>
      </c>
    </row>
    <row r="25">
      <c r="A25" s="15" t="n">
        <v>24</v>
      </c>
      <c r="B25" s="15" t="inlineStr">
        <is>
          <t>New User Request</t>
        </is>
      </c>
      <c r="C25" s="15" t="inlineStr">
        <is>
          <t>Required fields</t>
        </is>
      </c>
      <c r="D25" s="15" t="inlineStr">
        <is>
          <t>Done</t>
        </is>
      </c>
      <c r="E25" s="15" t="inlineStr">
        <is>
          <t>-</t>
        </is>
      </c>
      <c r="F25" s="15" t="inlineStr"/>
    </row>
    <row r="26">
      <c r="A26" s="15" t="n">
        <v>25</v>
      </c>
      <c r="B26" s="15" t="inlineStr">
        <is>
          <t>New User Request</t>
        </is>
      </c>
      <c r="C26" s="15" t="inlineStr">
        <is>
          <t>Phone auto-format, maxlength 14</t>
        </is>
      </c>
      <c r="D26" s="15" t="inlineStr">
        <is>
          <t>Done</t>
        </is>
      </c>
      <c r="E26" s="15" t="inlineStr">
        <is>
          <t>-</t>
        </is>
      </c>
      <c r="F26" s="15" t="inlineStr"/>
    </row>
    <row r="27">
      <c r="A27" s="15" t="n">
        <v>26</v>
      </c>
      <c r="B27" s="15" t="inlineStr">
        <is>
          <t>New User Request</t>
        </is>
      </c>
      <c r="C27" s="15" t="inlineStr">
        <is>
          <t>Phone exactly 10 digits</t>
        </is>
      </c>
      <c r="D27" s="15" t="inlineStr">
        <is>
          <t>Done</t>
        </is>
      </c>
      <c r="E27" s="15" t="inlineStr">
        <is>
          <t>-</t>
        </is>
      </c>
      <c r="F27" s="15" t="inlineStr">
        <is>
          <t>2026-10-07: PhoneDigitsValidator - exactly 10 digits</t>
        </is>
      </c>
    </row>
    <row r="28">
      <c r="A28" s="15" t="n">
        <v>27</v>
      </c>
      <c r="B28" s="15" t="inlineStr">
        <is>
          <t>New User Request</t>
        </is>
      </c>
      <c r="C28" s="15" t="inlineStr">
        <is>
          <t>Duplicate email (user / pending request)</t>
        </is>
      </c>
      <c r="D28" s="15" t="inlineStr">
        <is>
          <t>Done</t>
        </is>
      </c>
      <c r="E28" s="15" t="inlineStr">
        <is>
          <t>-</t>
        </is>
      </c>
      <c r="F28" s="15" t="inlineStr">
        <is>
          <t>2026-10-07: on submit checks prismGetUserByEmail (existing user) and prismUserRequestList (NEW / IN-PROCESS request)</t>
        </is>
      </c>
    </row>
    <row r="29">
      <c r="A29" s="15" t="n">
        <v>28</v>
      </c>
      <c r="B29" s="15" t="inlineStr">
        <is>
          <t>New User Request</t>
        </is>
      </c>
      <c r="C29" s="15" t="inlineStr">
        <is>
          <t>Request date not in future</t>
        </is>
      </c>
      <c r="D29" s="15" t="inlineStr">
        <is>
          <t>Done</t>
        </is>
      </c>
      <c r="E29" s="15" t="inlineStr">
        <is>
          <t>-</t>
        </is>
      </c>
      <c r="F29" s="15" t="inlineStr">
        <is>
          <t>2026-10-07: NotFutureDateValidator + datepicker [max]=today</t>
        </is>
      </c>
    </row>
    <row r="30">
      <c r="A30" s="15" t="n">
        <v>29</v>
      </c>
      <c r="B30" s="15" t="inlineStr">
        <is>
          <t>New User Request</t>
        </is>
      </c>
      <c r="C30" s="15" t="inlineStr">
        <is>
          <t>Status not selectable on create</t>
        </is>
      </c>
      <c r="D30" s="15" t="inlineStr">
        <is>
          <t>Done</t>
        </is>
      </c>
      <c r="E30" s="15" t="inlineStr">
        <is>
          <t>-</t>
        </is>
      </c>
      <c r="F30" s="15" t="inlineStr">
        <is>
          <t>2026-10-07: STATUS hidden on create; always saved as 0 (NEW)</t>
        </is>
      </c>
    </row>
    <row r="31">
      <c r="A31" s="15" t="n">
        <v>30</v>
      </c>
      <c r="B31" s="15" t="inlineStr">
        <is>
          <t>New User Request</t>
        </is>
      </c>
      <c r="C31" s="15" t="inlineStr">
        <is>
          <t>Name length / pattern / trim</t>
        </is>
      </c>
      <c r="D31" s="15" t="inlineStr">
        <is>
          <t>Done</t>
        </is>
      </c>
      <c r="E31" s="15" t="inlineStr">
        <is>
          <t>-</t>
        </is>
      </c>
      <c r="F31" s="15" t="inlineStr">
        <is>
          <t>2026-10-07: shared NameValidator (letters, space, - ', whitespace-only blocked), max 100, trimmed on submit</t>
        </is>
      </c>
    </row>
    <row r="32">
      <c r="A32" s="15" t="n">
        <v>31</v>
      </c>
      <c r="B32" s="15" t="inlineStr">
        <is>
          <t>New User Request</t>
        </is>
      </c>
      <c r="C32" s="15" t="inlineStr">
        <is>
          <t>Show error to user</t>
        </is>
      </c>
      <c r="D32" s="15" t="inlineStr">
        <is>
          <t>Done</t>
        </is>
      </c>
      <c r="E32" s="15" t="inlineStr">
        <is>
          <t>-</t>
        </is>
      </c>
      <c r="F32" s="15" t="inlineStr">
        <is>
          <t>2026-10-07: error line in dialog for save / role-load failures; duplicate email shown under EMAIL</t>
        </is>
      </c>
    </row>
    <row r="33">
      <c r="A33" s="15" t="n">
        <v>32</v>
      </c>
      <c r="B33" s="15" t="inlineStr">
        <is>
          <t>Alternate Address</t>
        </is>
      </c>
      <c r="C33" s="15" t="inlineStr">
        <is>
          <t>Address, city, state, zip required</t>
        </is>
      </c>
      <c r="D33" s="15" t="inlineStr">
        <is>
          <t>Done</t>
        </is>
      </c>
      <c r="E33" s="15" t="inlineStr">
        <is>
          <t>-</t>
        </is>
      </c>
      <c r="F33" s="15" t="inlineStr"/>
    </row>
    <row r="34">
      <c r="A34" s="15" t="n">
        <v>33</v>
      </c>
      <c r="B34" s="15" t="inlineStr">
        <is>
          <t>Alternate Address</t>
        </is>
      </c>
      <c r="C34" s="15" t="inlineStr">
        <is>
          <t>Zip auto-format, maxlength 10</t>
        </is>
      </c>
      <c r="D34" s="15" t="inlineStr">
        <is>
          <t>Done</t>
        </is>
      </c>
      <c r="E34" s="15" t="inlineStr">
        <is>
          <t>-</t>
        </is>
      </c>
      <c r="F34" s="15" t="inlineStr"/>
    </row>
    <row r="35">
      <c r="A35" s="15" t="n">
        <v>34</v>
      </c>
      <c r="B35" s="15" t="inlineStr">
        <is>
          <t>Alternate Address</t>
        </is>
      </c>
      <c r="C35" s="15" t="inlineStr">
        <is>
          <t>Zip exactly 5 or 9 digits</t>
        </is>
      </c>
      <c r="D35" s="15" t="inlineStr">
        <is>
          <t>Done</t>
        </is>
      </c>
      <c r="E35" s="15" t="inlineStr">
        <is>
          <t>-</t>
        </is>
      </c>
      <c r="F35" s="15" t="inlineStr">
        <is>
          <t>2026-10-07: ZipValidator - 12345 or 12345-6789</t>
        </is>
      </c>
    </row>
    <row r="36">
      <c r="A36" s="15" t="n">
        <v>35</v>
      </c>
      <c r="B36" s="15" t="inlineStr">
        <is>
          <t>Alternate Address</t>
        </is>
      </c>
      <c r="C36" s="15" t="inlineStr">
        <is>
          <t>State = valid 2-letter code (dropdown)</t>
        </is>
      </c>
      <c r="D36" s="15" t="inlineStr">
        <is>
          <t>Done</t>
        </is>
      </c>
      <c r="E36" s="15" t="inlineStr">
        <is>
          <t>-</t>
        </is>
      </c>
      <c r="F36" s="15" t="inlineStr">
        <is>
          <t>2026-10-07: STATE is a dropdown of USPS codes (50 states, DC, territories)</t>
        </is>
      </c>
    </row>
    <row r="37">
      <c r="A37" s="15" t="n">
        <v>36</v>
      </c>
      <c r="B37" s="15" t="inlineStr">
        <is>
          <t>Alternate Address</t>
        </is>
      </c>
      <c r="C37" s="15" t="inlineStr">
        <is>
          <t>Length limits / trim / whitespace-only</t>
        </is>
      </c>
      <c r="D37" s="15" t="inlineStr">
        <is>
          <t>Done</t>
        </is>
      </c>
      <c r="E37" s="15" t="inlineStr">
        <is>
          <t>-</t>
        </is>
      </c>
      <c r="F37" s="15" t="inlineStr">
        <is>
          <t>2026-10-07: address max 150, city max 50 (DB column sizes not confirmed); whitespace-only rejected; trimmed on save</t>
        </is>
      </c>
    </row>
    <row r="38">
      <c r="A38" s="15" t="n">
        <v>37</v>
      </c>
      <c r="B38" s="15" t="inlineStr">
        <is>
          <t>Alternate Address</t>
        </is>
      </c>
      <c r="C38" s="15" t="inlineStr">
        <is>
          <t>Duplicate address check</t>
        </is>
      </c>
      <c r="D38" s="15" t="inlineStr">
        <is>
          <t>Done</t>
        </is>
      </c>
      <c r="E38" s="15" t="inlineStr">
        <is>
          <t>-</t>
        </is>
      </c>
      <c r="F38" s="15" t="inlineStr">
        <is>
          <t>2026-10-07: blocks same street+city+state+ZIP5 as primary address or an existing alternate address</t>
        </is>
      </c>
    </row>
    <row r="39">
      <c r="A39" s="15" t="n">
        <v>38</v>
      </c>
      <c r="B39" s="15" t="inlineStr">
        <is>
          <t>Alternate Address</t>
        </is>
      </c>
      <c r="C39" s="15" t="inlineStr">
        <is>
          <t>Show error to user</t>
        </is>
      </c>
      <c r="D39" s="15" t="inlineStr">
        <is>
          <t>Done</t>
        </is>
      </c>
      <c r="E39" s="15" t="inlineStr">
        <is>
          <t>-</t>
        </is>
      </c>
      <c r="F39" s="15" t="inlineStr">
        <is>
          <t>2026-10-07: error line in dialog on save failure / duplicate</t>
        </is>
      </c>
    </row>
    <row r="40">
      <c r="A40" s="15" t="n">
        <v>39</v>
      </c>
      <c r="B40" s="15" t="inlineStr">
        <is>
          <t>Alternate Phone</t>
        </is>
      </c>
      <c r="C40" s="15" t="inlineStr">
        <is>
          <t>Required, auto-format, maxlength 14</t>
        </is>
      </c>
      <c r="D40" s="15" t="inlineStr">
        <is>
          <t>Done</t>
        </is>
      </c>
      <c r="E40" s="15" t="inlineStr">
        <is>
          <t>-</t>
        </is>
      </c>
      <c r="F40" s="15" t="inlineStr"/>
    </row>
    <row r="41">
      <c r="A41" s="15" t="n">
        <v>40</v>
      </c>
      <c r="B41" s="15" t="inlineStr">
        <is>
          <t>Alternate Phone</t>
        </is>
      </c>
      <c r="C41" s="15" t="inlineStr">
        <is>
          <t>Exactly 10 digits</t>
        </is>
      </c>
      <c r="D41" s="15" t="inlineStr">
        <is>
          <t>Done</t>
        </is>
      </c>
      <c r="E41" s="15" t="inlineStr">
        <is>
          <t>-</t>
        </is>
      </c>
      <c r="F41" s="15" t="inlineStr">
        <is>
          <t>2026-10-07: PhoneDigitsValidator - exactly 10 digits</t>
        </is>
      </c>
    </row>
    <row r="42">
      <c r="A42" s="15" t="n">
        <v>41</v>
      </c>
      <c r="B42" s="15" t="inlineStr">
        <is>
          <t>Alternate Phone</t>
        </is>
      </c>
      <c r="C42" s="15" t="inlineStr">
        <is>
          <t>Not duplicate of primary/other alt phone</t>
        </is>
      </c>
      <c r="D42" s="15" t="inlineStr">
        <is>
          <t>Done</t>
        </is>
      </c>
      <c r="E42" s="15" t="inlineStr">
        <is>
          <t>-</t>
        </is>
      </c>
      <c r="F42" s="15" t="inlineStr">
        <is>
          <t>2026-10-07: compared by digits against phone, HOME_PHONE, OTHER_PHONE and existing alternate phones</t>
        </is>
      </c>
    </row>
    <row r="43">
      <c r="A43" s="15" t="n">
        <v>42</v>
      </c>
      <c r="B43" s="15" t="inlineStr">
        <is>
          <t>Alternate Phone</t>
        </is>
      </c>
      <c r="C43" s="15" t="inlineStr">
        <is>
          <t>Show error to user</t>
        </is>
      </c>
      <c r="D43" s="15" t="inlineStr">
        <is>
          <t>Done</t>
        </is>
      </c>
      <c r="E43" s="15" t="inlineStr">
        <is>
          <t>-</t>
        </is>
      </c>
      <c r="F43" s="15" t="inlineStr">
        <is>
          <t>2026-10-07: error line in dialog on save failure / duplicate</t>
        </is>
      </c>
    </row>
    <row r="44">
      <c r="A44" s="15" t="n">
        <v>43</v>
      </c>
      <c r="B44" s="15" t="inlineStr">
        <is>
          <t>Plan dialog</t>
        </is>
      </c>
      <c r="C44" s="15" t="inlineStr">
        <is>
          <t>Name, start, end, status required</t>
        </is>
      </c>
      <c r="D44" s="15" t="inlineStr">
        <is>
          <t>Done</t>
        </is>
      </c>
      <c r="E44" s="15" t="inlineStr">
        <is>
          <t>-</t>
        </is>
      </c>
      <c r="F44" s="15" t="inlineStr"/>
    </row>
    <row r="45">
      <c r="A45" s="15" t="n">
        <v>44</v>
      </c>
      <c r="B45" s="15" t="inlineStr">
        <is>
          <t>Plan dialog</t>
        </is>
      </c>
      <c r="C45" s="15" t="inlineStr">
        <is>
          <t>Start &lt;= End</t>
        </is>
      </c>
      <c r="D45" s="15" t="inlineStr">
        <is>
          <t>Done</t>
        </is>
      </c>
      <c r="E45" s="15" t="inlineStr">
        <is>
          <t>-</t>
        </is>
      </c>
      <c r="F45" s="15" t="inlineStr">
        <is>
          <t>Via alert(), not a form validator</t>
        </is>
      </c>
    </row>
    <row r="46">
      <c r="A46" s="15" t="n">
        <v>45</v>
      </c>
      <c r="B46" s="15" t="inlineStr">
        <is>
          <t>Plan dialog</t>
        </is>
      </c>
      <c r="C46" s="15" t="inlineStr">
        <is>
          <t>Duplicate plan name</t>
        </is>
      </c>
      <c r="D46" s="15" t="inlineStr">
        <is>
          <t>Done</t>
        </is>
      </c>
      <c r="E46" s="15" t="inlineStr">
        <is>
          <t>-</t>
        </is>
      </c>
      <c r="F46" s="15" t="inlineStr">
        <is>
          <t>2026-10-07: on submit, case-insensitive match against existing plan names (excluding the plan being edited)</t>
        </is>
      </c>
    </row>
    <row r="47">
      <c r="A47" s="15" t="n">
        <v>46</v>
      </c>
      <c r="B47" s="15" t="inlineStr">
        <is>
          <t>Plan dialog</t>
        </is>
      </c>
      <c r="C47" s="15" t="inlineStr">
        <is>
          <t>Name length / trim</t>
        </is>
      </c>
      <c r="D47" s="15" t="inlineStr">
        <is>
          <t>Done</t>
        </is>
      </c>
      <c r="E47" s="15" t="inlineStr">
        <is>
          <t>-</t>
        </is>
      </c>
      <c r="F47" s="15" t="inlineStr">
        <is>
          <t>2026-10-07: max 100, whitespace-only rejected, trimmed on save</t>
        </is>
      </c>
    </row>
    <row r="48">
      <c r="A48" s="15" t="n">
        <v>47</v>
      </c>
      <c r="B48" s="15" t="inlineStr">
        <is>
          <t>Assign Plan</t>
        </is>
      </c>
      <c r="C48" s="15" t="inlineStr">
        <is>
          <t>Plan required</t>
        </is>
      </c>
      <c r="D48" s="15" t="inlineStr">
        <is>
          <t>Done</t>
        </is>
      </c>
      <c r="E48" s="15" t="inlineStr">
        <is>
          <t>-</t>
        </is>
      </c>
      <c r="F48" s="15" t="inlineStr"/>
    </row>
    <row r="49">
      <c r="A49" s="15" t="n">
        <v>48</v>
      </c>
      <c r="B49" s="15" t="inlineStr">
        <is>
          <t>Assign Plan</t>
        </is>
      </c>
      <c r="C49" s="15" t="inlineStr">
        <is>
          <t>Already-assigned check</t>
        </is>
      </c>
      <c r="D49" s="15" t="inlineStr">
        <is>
          <t>Done</t>
        </is>
      </c>
      <c r="E49" s="15" t="inlineStr">
        <is>
          <t>-</t>
        </is>
      </c>
      <c r="F49" s="15" t="inlineStr">
        <is>
          <t>checkplanexist; doesn't name the member</t>
        </is>
      </c>
    </row>
    <row r="50">
      <c r="A50" s="15" t="n">
        <v>49</v>
      </c>
      <c r="B50" s="15" t="inlineStr">
        <is>
          <t>Assign Plan</t>
        </is>
      </c>
      <c r="C50" s="15" t="inlineStr">
        <is>
          <t>Only active / in-date plans selectable</t>
        </is>
      </c>
      <c r="D50" s="15" t="inlineStr">
        <is>
          <t>Done</t>
        </is>
      </c>
      <c r="E50" s="15" t="inlineStr">
        <is>
          <t>-</t>
        </is>
      </c>
      <c r="F50" s="15" t="inlineStr">
        <is>
          <t>2026-10-07: dropdown lists only status 0 plans with start &lt;= today &lt;= end</t>
        </is>
      </c>
    </row>
    <row r="51">
      <c r="A51" s="15" t="n">
        <v>50</v>
      </c>
      <c r="B51" s="15" t="inlineStr">
        <is>
          <t>File Attachment</t>
        </is>
      </c>
      <c r="C51" s="15" t="inlineStr">
        <is>
          <t>File required (new), status required</t>
        </is>
      </c>
      <c r="D51" s="15" t="inlineStr">
        <is>
          <t>Done</t>
        </is>
      </c>
      <c r="E51" s="15" t="inlineStr">
        <is>
          <t>-</t>
        </is>
      </c>
      <c r="F51" s="15" t="inlineStr">
        <is>
          <t>fileattach-dialog.ts</t>
        </is>
      </c>
    </row>
    <row r="52">
      <c r="A52" s="15" t="n">
        <v>51</v>
      </c>
      <c r="B52" s="15" t="inlineStr">
        <is>
          <t>File Attachment</t>
        </is>
      </c>
      <c r="C52" s="15" t="inlineStr">
        <is>
          <t>File type allow-list (accept + extension check)</t>
        </is>
      </c>
      <c r="D52" s="15" t="inlineStr">
        <is>
          <t>Done</t>
        </is>
      </c>
      <c r="E52" s="15" t="inlineStr">
        <is>
          <t>-</t>
        </is>
      </c>
      <c r="F52" s="15" t="inlineStr">
        <is>
          <t>2026-10-07: accept + extension check: pdf, doc(x), xls(x), csv, txt, png, jpg/jpeg</t>
        </is>
      </c>
    </row>
    <row r="53">
      <c r="A53" s="15" t="n">
        <v>52</v>
      </c>
      <c r="B53" s="15" t="inlineStr">
        <is>
          <t>File Attachment</t>
        </is>
      </c>
      <c r="C53" s="15" t="inlineStr">
        <is>
          <t>Max file size / empty file</t>
        </is>
      </c>
      <c r="D53" s="15" t="inlineStr">
        <is>
          <t>Done</t>
        </is>
      </c>
      <c r="E53" s="15" t="inlineStr">
        <is>
          <t>-</t>
        </is>
      </c>
      <c r="F53" s="15" t="inlineStr">
        <is>
          <t>2026-10-07: rejects empty files and files over 10 MB</t>
        </is>
      </c>
    </row>
    <row r="54">
      <c r="A54" s="15" t="n">
        <v>53</v>
      </c>
      <c r="B54" s="15" t="inlineStr">
        <is>
          <t>File Attachment</t>
        </is>
      </c>
      <c r="C54" s="15" t="inlineStr">
        <is>
          <t>Delete confirmation</t>
        </is>
      </c>
      <c r="D54" s="15" t="inlineStr">
        <is>
          <t>Done</t>
        </is>
      </c>
      <c r="E54" s="15" t="inlineStr">
        <is>
          <t>-</t>
        </is>
      </c>
      <c r="F54" s="15" t="inlineStr">
        <is>
          <t>2026-10-07: shared ConfirmDialogComponent replaces native confirm()</t>
        </is>
      </c>
    </row>
    <row r="55">
      <c r="A55" s="15" t="n">
        <v>54</v>
      </c>
      <c r="B55" s="15" t="inlineStr">
        <is>
          <t>Task dialog</t>
        </is>
      </c>
      <c r="C55" s="15" t="inlineStr">
        <is>
          <t>Activity, date, assign-to, status required</t>
        </is>
      </c>
      <c r="D55" s="15" t="inlineStr">
        <is>
          <t>Done</t>
        </is>
      </c>
      <c r="E55" s="15" t="inlineStr">
        <is>
          <t>-</t>
        </is>
      </c>
      <c r="F55" s="15" t="inlineStr"/>
    </row>
    <row r="56">
      <c r="A56" s="15" t="n">
        <v>55</v>
      </c>
      <c r="B56" s="15" t="inlineStr">
        <is>
          <t>Task dialog</t>
        </is>
      </c>
      <c r="C56" s="15" t="inlineStr">
        <is>
          <t>Task date not in past (new task)</t>
        </is>
      </c>
      <c r="D56" s="15" t="inlineStr">
        <is>
          <t>Done</t>
        </is>
      </c>
      <c r="E56" s="15" t="inlineStr">
        <is>
          <t>-</t>
        </is>
      </c>
      <c r="F56" s="15" t="inlineStr">
        <is>
          <t>2026-10-07: new task: datepicker min = today + validator; edit keeps existing date valid</t>
        </is>
      </c>
    </row>
    <row r="57">
      <c r="A57" s="15" t="n">
        <v>56</v>
      </c>
      <c r="B57" s="15" t="inlineStr">
        <is>
          <t>Task dialog</t>
        </is>
      </c>
      <c r="C57" s="15" t="inlineStr">
        <is>
          <t>Note max length</t>
        </is>
      </c>
      <c r="D57" s="15" t="inlineStr">
        <is>
          <t>Done</t>
        </is>
      </c>
      <c r="E57" s="15" t="inlineStr">
        <is>
          <t>-</t>
        </is>
      </c>
      <c r="F57" s="15" t="inlineStr">
        <is>
          <t>2026-10-07: comment max 500 with counter</t>
        </is>
      </c>
    </row>
    <row r="58">
      <c r="A58" s="15" t="n">
        <v>57</v>
      </c>
      <c r="B58" s="15" t="inlineStr">
        <is>
          <t>Transfer Member</t>
        </is>
      </c>
      <c r="C58" s="15" t="inlineStr">
        <is>
          <t>Department, user required</t>
        </is>
      </c>
      <c r="D58" s="15" t="inlineStr">
        <is>
          <t>Done</t>
        </is>
      </c>
      <c r="E58" s="15" t="inlineStr">
        <is>
          <t>-</t>
        </is>
      </c>
      <c r="F58" s="15" t="inlineStr"/>
    </row>
    <row r="59">
      <c r="A59" s="15" t="n">
        <v>58</v>
      </c>
      <c r="B59" s="15" t="inlineStr">
        <is>
          <t>Transfer Member</t>
        </is>
      </c>
      <c r="C59" s="15" t="inlineStr">
        <is>
          <t>Cannot transfer to current owner</t>
        </is>
      </c>
      <c r="D59" s="15" t="inlineStr">
        <is>
          <t>Done</t>
        </is>
      </c>
      <c r="E59" s="15" t="inlineStr">
        <is>
          <t>-</t>
        </is>
      </c>
      <c r="F59" s="15" t="inlineStr">
        <is>
          <t>2026-10-07: blocks members already owned by the selected user (uses Care_Coordinator_id added to prismGetUserMemberList - deploy needed for admins)</t>
        </is>
      </c>
    </row>
    <row r="60">
      <c r="A60" s="15" t="n">
        <v>59</v>
      </c>
      <c r="B60" s="15" t="inlineStr">
        <is>
          <t>Transfer Member</t>
        </is>
      </c>
      <c r="C60" s="15" t="inlineStr">
        <is>
          <t>Reason required / length</t>
        </is>
      </c>
      <c r="D60" s="15" t="inlineStr">
        <is>
          <t>Done</t>
        </is>
      </c>
      <c r="E60" s="15" t="inlineStr">
        <is>
          <t>-</t>
        </is>
      </c>
      <c r="F60" s="15" t="inlineStr">
        <is>
          <t>2026-10-07: reason now required, whitespace-only rejected, max 500, trimmed</t>
        </is>
      </c>
    </row>
    <row r="61">
      <c r="A61" s="15" t="n">
        <v>60</v>
      </c>
      <c r="B61" s="15" t="inlineStr">
        <is>
          <t>No-Longer-Patient / Unlock</t>
        </is>
      </c>
      <c r="C61" s="15" t="inlineStr">
        <is>
          <t>Note required + trimmed</t>
        </is>
      </c>
      <c r="D61" s="15" t="inlineStr">
        <is>
          <t>Done</t>
        </is>
      </c>
      <c r="E61" s="15" t="inlineStr">
        <is>
          <t>-</t>
        </is>
      </c>
      <c r="F61" s="15" t="inlineStr"/>
    </row>
    <row r="62">
      <c r="A62" s="15" t="n">
        <v>61</v>
      </c>
      <c r="B62" s="15" t="inlineStr">
        <is>
          <t>No-Longer-Patient / Unlock</t>
        </is>
      </c>
      <c r="C62" s="15" t="inlineStr">
        <is>
          <t>Block whitespace-only note</t>
        </is>
      </c>
      <c r="D62" s="15" t="inlineStr">
        <is>
          <t>Done</t>
        </is>
      </c>
      <c r="E62" s="15" t="inlineStr">
        <is>
          <t>-</t>
        </is>
      </c>
      <c r="F62" s="15" t="inlineStr">
        <is>
          <t>2026-10-07: NotBlankValidator; Yes now blocked until note valid (was not gated). Unlock dialog now shows the NOTE field (form existed but wasn't rendered); note added to audit log</t>
        </is>
      </c>
    </row>
    <row r="63">
      <c r="A63" s="15" t="n">
        <v>62</v>
      </c>
      <c r="B63" s="15" t="inlineStr">
        <is>
          <t>No-Longer-Patient / Unlock</t>
        </is>
      </c>
      <c r="C63" s="15" t="inlineStr">
        <is>
          <t>Note max length</t>
        </is>
      </c>
      <c r="D63" s="15" t="inlineStr">
        <is>
          <t>Done</t>
        </is>
      </c>
      <c r="E63" s="15" t="inlineStr">
        <is>
          <t>-</t>
        </is>
      </c>
      <c r="F63" s="15" t="inlineStr">
        <is>
          <t>2026-10-07: note max 500 (both dialogs)</t>
        </is>
      </c>
    </row>
    <row r="64">
      <c r="A64" s="15" t="n">
        <v>63</v>
      </c>
      <c r="B64" s="15" t="inlineStr">
        <is>
          <t>Rolewise Page Access</t>
        </is>
      </c>
      <c r="C64" s="15" t="inlineStr">
        <is>
          <t>Role, page, status required</t>
        </is>
      </c>
      <c r="D64" s="15" t="inlineStr">
        <is>
          <t>Done</t>
        </is>
      </c>
      <c r="E64" s="15" t="inlineStr">
        <is>
          <t>-</t>
        </is>
      </c>
      <c r="F64" s="15" t="inlineStr"/>
    </row>
    <row r="65">
      <c r="A65" s="15" t="n">
        <v>64</v>
      </c>
      <c r="B65" s="15" t="inlineStr">
        <is>
          <t>Rolewise Page Access</t>
        </is>
      </c>
      <c r="C65" s="15" t="inlineStr">
        <is>
          <t>Duplicate role + page</t>
        </is>
      </c>
      <c r="D65" s="15" t="inlineStr">
        <is>
          <t>Done</t>
        </is>
      </c>
      <c r="E65" s="15" t="inlineStr">
        <is>
          <t>-</t>
        </is>
      </c>
      <c r="F65" s="15" t="inlineStr">
        <is>
          <t>2026-10-07: blocks a second row with the same role + page</t>
        </is>
      </c>
    </row>
    <row r="66">
      <c r="A66" s="15" t="n">
        <v>65</v>
      </c>
      <c r="B66" s="15" t="inlineStr">
        <is>
          <t>Rolewise Page Access</t>
        </is>
      </c>
      <c r="C66" s="15" t="inlineStr">
        <is>
          <t>Admin cannot remove own access to this page</t>
        </is>
      </c>
      <c r="D66" s="15" t="inlineStr">
        <is>
          <t>Done</t>
        </is>
      </c>
      <c r="E66" s="15" t="inlineStr">
        <is>
          <t>-</t>
        </is>
      </c>
      <c r="F66" s="15" t="inlineStr">
        <is>
          <t>2026-10-07: editing own role's active PAGE ACCESS row can't change role, page or status</t>
        </is>
      </c>
    </row>
    <row r="67">
      <c r="A67" s="15" t="n">
        <v>66</v>
      </c>
      <c r="B67" s="15" t="inlineStr">
        <is>
          <t>Add Action</t>
        </is>
      </c>
      <c r="C67" s="15" t="inlineStr">
        <is>
          <t>Action date valid, digits and / only, maxlength 10</t>
        </is>
      </c>
      <c r="D67" s="15" t="inlineStr">
        <is>
          <t>Done</t>
        </is>
      </c>
      <c r="E67" s="15" t="inlineStr">
        <is>
          <t>-</t>
        </is>
      </c>
      <c r="F67" s="15" t="inlineStr"/>
    </row>
    <row r="68">
      <c r="A68" s="15" t="n">
        <v>67</v>
      </c>
      <c r="B68" s="15" t="inlineStr">
        <is>
          <t>Add Action</t>
        </is>
      </c>
      <c r="C68" s="15" t="inlineStr">
        <is>
          <t>Quality gap: TIN, Provider, DOS, flags, SuppSource required</t>
        </is>
      </c>
      <c r="D68" s="15" t="inlineStr">
        <is>
          <t>Done</t>
        </is>
      </c>
      <c r="E68" s="15" t="inlineStr">
        <is>
          <t>-</t>
        </is>
      </c>
      <c r="F68" s="15" t="inlineStr"/>
    </row>
    <row r="69">
      <c r="A69" s="15" t="n">
        <v>68</v>
      </c>
      <c r="B69" s="15" t="inlineStr">
        <is>
          <t>Add Action</t>
        </is>
      </c>
      <c r="C69" s="15" t="inlineStr">
        <is>
          <t>Quality gap: at least one CPT / HCPCS / ICD-10</t>
        </is>
      </c>
      <c r="D69" s="15" t="inlineStr">
        <is>
          <t>Done</t>
        </is>
      </c>
      <c r="E69" s="15" t="inlineStr">
        <is>
          <t>-</t>
        </is>
      </c>
      <c r="F69" s="15" t="inlineStr"/>
    </row>
    <row r="70">
      <c r="A70" s="15" t="n">
        <v>69</v>
      </c>
      <c r="B70" s="15" t="inlineStr">
        <is>
          <t>Add Action</t>
        </is>
      </c>
      <c r="C70" s="15" t="inlineStr">
        <is>
          <t>TIN/Provider conditional required</t>
        </is>
      </c>
      <c r="D70" s="15" t="inlineStr">
        <is>
          <t>Done</t>
        </is>
      </c>
      <c r="E70" s="15" t="inlineStr">
        <is>
          <t>-</t>
        </is>
      </c>
      <c r="F70" s="15" t="inlineStr"/>
    </row>
    <row r="71">
      <c r="A71" s="15" t="n">
        <v>70</v>
      </c>
      <c r="B71" s="15" t="inlineStr">
        <is>
          <t>Add Action</t>
        </is>
      </c>
      <c r="C71" s="15" t="inlineStr">
        <is>
          <t>Appointment required fields</t>
        </is>
      </c>
      <c r="D71" s="15" t="inlineStr">
        <is>
          <t>Done</t>
        </is>
      </c>
      <c r="E71" s="15" t="inlineStr">
        <is>
          <t>-</t>
        </is>
      </c>
      <c r="F71" s="15" t="inlineStr"/>
    </row>
    <row r="72">
      <c r="A72" s="15" t="n">
        <v>71</v>
      </c>
      <c r="B72" s="15" t="inlineStr">
        <is>
          <t>Add Action</t>
        </is>
      </c>
      <c r="C72" s="15" t="inlineStr">
        <is>
          <t>PCP visit: date + type required</t>
        </is>
      </c>
      <c r="D72" s="15" t="inlineStr">
        <is>
          <t>Done</t>
        </is>
      </c>
      <c r="E72" s="15" t="inlineStr">
        <is>
          <t>-</t>
        </is>
      </c>
      <c r="F72" s="15" t="inlineStr"/>
    </row>
    <row r="73">
      <c r="A73" s="15" t="n">
        <v>72</v>
      </c>
      <c r="B73" s="15" t="inlineStr">
        <is>
          <t>Add Action</t>
        </is>
      </c>
      <c r="C73" s="15" t="inlineStr">
        <is>
          <t>Star measure required + duplicate check</t>
        </is>
      </c>
      <c r="D73" s="15" t="inlineStr">
        <is>
          <t>Done</t>
        </is>
      </c>
      <c r="E73" s="15" t="inlineStr">
        <is>
          <t>-</t>
        </is>
      </c>
      <c r="F73" s="15" t="inlineStr"/>
    </row>
    <row r="74">
      <c r="A74" s="15" t="n">
        <v>73</v>
      </c>
      <c r="B74" s="15" t="inlineStr">
        <is>
          <t>Add Action</t>
        </is>
      </c>
      <c r="C74" s="15" t="inlineStr">
        <is>
          <t>Next activity date required when next activity chosen</t>
        </is>
      </c>
      <c r="D74" s="15" t="inlineStr">
        <is>
          <t>To Do</t>
        </is>
      </c>
      <c r="E74" s="15" t="inlineStr">
        <is>
          <t>P2</t>
        </is>
      </c>
      <c r="F74" s="15" t="inlineStr">
        <is>
          <t>Server returns 400 otherwise</t>
        </is>
      </c>
    </row>
    <row r="75">
      <c r="A75" s="15" t="n">
        <v>74</v>
      </c>
      <c r="B75" s="15" t="inlineStr">
        <is>
          <t>Add Action</t>
        </is>
      </c>
      <c r="C75" s="15" t="inlineStr">
        <is>
          <t>Action date / DOS / PCP date not in future</t>
        </is>
      </c>
      <c r="D75" s="15" t="inlineStr">
        <is>
          <t>To Do</t>
        </is>
      </c>
      <c r="E75" s="15" t="inlineStr">
        <is>
          <t>P2</t>
        </is>
      </c>
      <c r="F75" s="15" t="inlineStr"/>
    </row>
    <row r="76">
      <c r="A76" s="15" t="n">
        <v>75</v>
      </c>
      <c r="B76" s="15" t="inlineStr">
        <is>
          <t>Add Action</t>
        </is>
      </c>
      <c r="C76" s="15" t="inlineStr">
        <is>
          <t>Next action date &gt;= today</t>
        </is>
      </c>
      <c r="D76" s="15" t="inlineStr">
        <is>
          <t>To Do</t>
        </is>
      </c>
      <c r="E76" s="15" t="inlineStr">
        <is>
          <t>P3</t>
        </is>
      </c>
      <c r="F76" s="15" t="inlineStr"/>
    </row>
    <row r="77">
      <c r="A77" s="15" t="n">
        <v>76</v>
      </c>
      <c r="B77" s="15" t="inlineStr">
        <is>
          <t>Add Action</t>
        </is>
      </c>
      <c r="C77" s="15" t="inlineStr">
        <is>
          <t>Appointment date not in past</t>
        </is>
      </c>
      <c r="D77" s="15" t="inlineStr">
        <is>
          <t>To Do</t>
        </is>
      </c>
      <c r="E77" s="15" t="inlineStr">
        <is>
          <t>P3</t>
        </is>
      </c>
      <c r="F77" s="15" t="inlineStr"/>
    </row>
    <row r="78">
      <c r="A78" s="15" t="n">
        <v>77</v>
      </c>
      <c r="B78" s="15" t="inlineStr">
        <is>
          <t>Add Action</t>
        </is>
      </c>
      <c r="C78" s="15" t="inlineStr">
        <is>
          <t>NPI = 10 digits + Luhn</t>
        </is>
      </c>
      <c r="D78" s="15" t="inlineStr">
        <is>
          <t>To Do</t>
        </is>
      </c>
      <c r="E78" s="15" t="inlineStr">
        <is>
          <t>P2</t>
        </is>
      </c>
      <c r="F78" s="15" t="inlineStr"/>
    </row>
    <row r="79">
      <c r="A79" s="15" t="n">
        <v>78</v>
      </c>
      <c r="B79" s="15" t="inlineStr">
        <is>
          <t>Add Action</t>
        </is>
      </c>
      <c r="C79" s="15" t="inlineStr">
        <is>
          <t>Taxonomy code format (10 chars)</t>
        </is>
      </c>
      <c r="D79" s="15" t="inlineStr">
        <is>
          <t>To Do</t>
        </is>
      </c>
      <c r="E79" s="15" t="inlineStr">
        <is>
          <t>P3</t>
        </is>
      </c>
      <c r="F79" s="15" t="inlineStr"/>
    </row>
    <row r="80">
      <c r="A80" s="15" t="n">
        <v>79</v>
      </c>
      <c r="B80" s="15" t="inlineStr">
        <is>
          <t>Add Action</t>
        </is>
      </c>
      <c r="C80" s="15" t="inlineStr">
        <is>
          <t>ICD-10 / CPT / HCPCS format</t>
        </is>
      </c>
      <c r="D80" s="15" t="inlineStr">
        <is>
          <t>To Do</t>
        </is>
      </c>
      <c r="E80" s="15" t="inlineStr">
        <is>
          <t>P2</t>
        </is>
      </c>
      <c r="F80" s="15" t="inlineStr"/>
    </row>
    <row r="81">
      <c r="A81" s="15" t="n">
        <v>80</v>
      </c>
      <c r="B81" s="15" t="inlineStr">
        <is>
          <t>Add Action</t>
        </is>
      </c>
      <c r="C81" s="15" t="inlineStr">
        <is>
          <t>Risk-gap rows required fields</t>
        </is>
      </c>
      <c r="D81" s="15" t="inlineStr">
        <is>
          <t>To Do</t>
        </is>
      </c>
      <c r="E81" s="15" t="inlineStr">
        <is>
          <t>P2</t>
        </is>
      </c>
      <c r="F81" s="15" t="inlineStr">
        <is>
          <t>Only quality gaps validated</t>
        </is>
      </c>
    </row>
    <row r="82">
      <c r="A82" s="15" t="n">
        <v>81</v>
      </c>
      <c r="B82" s="15" t="inlineStr">
        <is>
          <t>Add Action</t>
        </is>
      </c>
      <c r="C82" s="15" t="inlineStr">
        <is>
          <t>Note fields max length</t>
        </is>
      </c>
      <c r="D82" s="15" t="inlineStr">
        <is>
          <t>To Do</t>
        </is>
      </c>
      <c r="E82" s="15" t="inlineStr">
        <is>
          <t>P3</t>
        </is>
      </c>
      <c r="F82" s="15" t="inlineStr"/>
    </row>
    <row r="83">
      <c r="A83" s="15" t="n">
        <v>82</v>
      </c>
      <c r="B83" s="15" t="inlineStr">
        <is>
          <t>Process File (CSV)</t>
        </is>
      </c>
      <c r="C83" s="15" t="inlineStr">
        <is>
          <t>File required, .csv extension</t>
        </is>
      </c>
      <c r="D83" s="15" t="inlineStr">
        <is>
          <t>Done</t>
        </is>
      </c>
      <c r="E83" s="15" t="inlineStr">
        <is>
          <t>-</t>
        </is>
      </c>
      <c r="F83" s="15" t="inlineStr">
        <is>
          <t>All 5 imports</t>
        </is>
      </c>
    </row>
    <row r="84">
      <c r="A84" s="15" t="n">
        <v>83</v>
      </c>
      <c r="B84" s="15" t="inlineStr">
        <is>
          <t>Process File (CSV)</t>
        </is>
      </c>
      <c r="C84" s="15" t="inlineStr">
        <is>
          <t>Exact header match</t>
        </is>
      </c>
      <c r="D84" s="15" t="inlineStr">
        <is>
          <t>Done</t>
        </is>
      </c>
      <c r="E84" s="15" t="inlineStr">
        <is>
          <t>-</t>
        </is>
      </c>
      <c r="F84" s="15" t="inlineStr">
        <is>
          <t>2026-10-07: Star Performance: requires Measure Name + Statistics + at least one M/D/YYYY date column</t>
        </is>
      </c>
    </row>
    <row r="85">
      <c r="A85" s="15" t="n">
        <v>84</v>
      </c>
      <c r="B85" s="15" t="inlineStr">
        <is>
          <t>Process File (CSV)</t>
        </is>
      </c>
      <c r="C85" s="15" t="inlineStr">
        <is>
          <t>Empty file (&lt; 2 rows)</t>
        </is>
      </c>
      <c r="D85" s="15" t="inlineStr">
        <is>
          <t>Done</t>
        </is>
      </c>
      <c r="E85" s="15" t="inlineStr">
        <is>
          <t>-</t>
        </is>
      </c>
      <c r="F85" s="15" t="inlineStr">
        <is>
          <t>2026-10-07: all 5 imports reject files with no data rows (shared validateCsvRows)</t>
        </is>
      </c>
    </row>
    <row r="86">
      <c r="A86" s="15" t="n">
        <v>85</v>
      </c>
      <c r="B86" s="15" t="inlineStr">
        <is>
          <t>Process File (CSV)</t>
        </is>
      </c>
      <c r="C86" s="15" t="inlineStr">
        <is>
          <t>Date normalisation</t>
        </is>
      </c>
      <c r="D86" s="15" t="inlineStr">
        <is>
          <t>Done</t>
        </is>
      </c>
      <c r="E86" s="15" t="inlineStr">
        <is>
          <t>-</t>
        </is>
      </c>
      <c r="F86" s="15" t="inlineStr"/>
    </row>
    <row r="87">
      <c r="A87" s="15" t="n">
        <v>86</v>
      </c>
      <c r="B87" s="15" t="inlineStr">
        <is>
          <t>Process File (CSV)</t>
        </is>
      </c>
      <c r="C87" s="15" t="inlineStr">
        <is>
          <t>Max file size / row count</t>
        </is>
      </c>
      <c r="D87" s="15" t="inlineStr">
        <is>
          <t>Done</t>
        </is>
      </c>
      <c r="E87" s="15" t="inlineStr">
        <is>
          <t>-</t>
        </is>
      </c>
      <c r="F87" s="15" t="inlineStr">
        <is>
          <t>2026-10-07: max 25 MB and 100,000 rows (MAX_CSV_MB / MAX_CSV_ROWS in utilities/csv-import.ts)</t>
        </is>
      </c>
    </row>
    <row r="88">
      <c r="A88" s="15" t="n">
        <v>87</v>
      </c>
      <c r="B88" s="15" t="inlineStr">
        <is>
          <t>Process File (CSV)</t>
        </is>
      </c>
      <c r="C88" s="15" t="inlineStr">
        <is>
          <t>Row-level checks (required, Medicaid ID, numeric, dates)</t>
        </is>
      </c>
      <c r="D88" s="15" t="inlineStr">
        <is>
          <t>Done</t>
        </is>
      </c>
      <c r="E88" s="15" t="inlineStr">
        <is>
          <t>-</t>
        </is>
      </c>
      <c r="F88" s="15" t="inlineStr">
        <is>
          <t>2026-10-07: required key columns, dates, numbers per file (ROW_RULES). Required columns inferred - confirm with business</t>
        </is>
      </c>
    </row>
    <row r="89">
      <c r="A89" s="15" t="n">
        <v>88</v>
      </c>
      <c r="B89" s="15" t="inlineStr">
        <is>
          <t>Process File (CSV)</t>
        </is>
      </c>
      <c r="C89" s="15" t="inlineStr">
        <is>
          <t>Report bad rows</t>
        </is>
      </c>
      <c r="D89" s="15" t="inlineStr">
        <is>
          <t>Done</t>
        </is>
      </c>
      <c r="E89" s="15" t="inlineStr">
        <is>
          <t>-</t>
        </is>
      </c>
      <c r="F89" s="15" t="inlineStr">
        <is>
          <t>2026-10-07: upload blocked and bad lines listed (line number + reason) via app-csv-errors</t>
        </is>
      </c>
    </row>
    <row r="90">
      <c r="A90" s="15" t="n">
        <v>89</v>
      </c>
      <c r="B90" s="15" t="inlineStr">
        <is>
          <t>Process File (CSV)</t>
        </is>
      </c>
      <c r="C90" s="15" t="inlineStr">
        <is>
          <t>Quoted CSV values</t>
        </is>
      </c>
      <c r="D90" s="15" t="inlineStr">
        <is>
          <t>Done</t>
        </is>
      </c>
      <c r="E90" s="15" t="inlineStr">
        <is>
          <t>-</t>
        </is>
      </c>
      <c r="F90" s="15" t="inlineStr">
        <is>
          <t>2026-10-07: member file now uses Papa Parse like the others</t>
        </is>
      </c>
    </row>
    <row r="91">
      <c r="A91" s="15" t="n">
        <v>90</v>
      </c>
      <c r="B91" s="15" t="inlineStr">
        <is>
          <t>Process File (CSV)</t>
        </is>
      </c>
      <c r="C91" s="15" t="inlineStr">
        <is>
          <t>Duplicate rows within file</t>
        </is>
      </c>
      <c r="D91" s="15" t="inlineStr">
        <is>
          <t>Done</t>
        </is>
      </c>
      <c r="E91" s="15" t="inlineStr">
        <is>
          <t>-</t>
        </is>
      </c>
      <c r="F91" s="15" t="inlineStr">
        <is>
          <t>2026-10-07: exact duplicate rows reported (star: same measure/statistic/date)</t>
        </is>
      </c>
    </row>
    <row r="92">
      <c r="A92" s="15" t="n">
        <v>91</v>
      </c>
      <c r="B92" s="15" t="inlineStr">
        <is>
          <t>Reports</t>
        </is>
      </c>
      <c r="C92" s="15" t="inlineStr">
        <is>
          <t>Start/end required, end &gt;= start</t>
        </is>
      </c>
      <c r="D92" s="15" t="inlineStr">
        <is>
          <t>Done</t>
        </is>
      </c>
      <c r="E92" s="15" t="inlineStr">
        <is>
          <t>-</t>
        </is>
      </c>
      <c r="F92" s="15" t="inlineStr">
        <is>
          <t>Appointments, Action Log, Outreach, Gaps, System Log</t>
        </is>
      </c>
    </row>
    <row r="93">
      <c r="A93" s="15" t="n">
        <v>92</v>
      </c>
      <c r="B93" s="15" t="inlineStr">
        <is>
          <t>Reports</t>
        </is>
      </c>
      <c r="C93" s="15" t="inlineStr">
        <is>
          <t>File Log: type + list required</t>
        </is>
      </c>
      <c r="D93" s="15" t="inlineStr">
        <is>
          <t>Done</t>
        </is>
      </c>
      <c r="E93" s="15" t="inlineStr">
        <is>
          <t>-</t>
        </is>
      </c>
      <c r="F93" s="15" t="inlineStr"/>
    </row>
    <row r="94">
      <c r="A94" s="15" t="n">
        <v>93</v>
      </c>
      <c r="B94" s="15" t="inlineStr">
        <is>
          <t>Reports</t>
        </is>
      </c>
      <c r="C94" s="15" t="inlineStr">
        <is>
          <t>Max date range</t>
        </is>
      </c>
      <c r="D94" s="15" t="inlineStr">
        <is>
          <t>Done</t>
        </is>
      </c>
      <c r="E94" s="15" t="inlineStr">
        <is>
          <t>-</t>
        </is>
      </c>
      <c r="F94" s="15" t="inlineStr">
        <is>
          <t>2026-10-07: 366-day max (same as server) on Appointments, Action Log, Outreach, Gaps, System Log</t>
        </is>
      </c>
    </row>
    <row r="95">
      <c r="A95" s="15" t="n">
        <v>94</v>
      </c>
      <c r="B95" s="15" t="inlineStr">
        <is>
          <t>Reports</t>
        </is>
      </c>
      <c r="C95" s="15" t="inlineStr">
        <is>
          <t>No future dates</t>
        </is>
      </c>
      <c r="D95" s="15" t="inlineStr">
        <is>
          <t>Done</t>
        </is>
      </c>
      <c r="E95" s="15" t="inlineStr">
        <is>
          <t>-</t>
        </is>
      </c>
      <c r="F95" s="15" t="inlineStr">
        <is>
          <t>2026-10-07: Action Log, Outreach, Gaps, System Log. Appointments allow future (upcoming appointments)</t>
        </is>
      </c>
    </row>
    <row r="96">
      <c r="A96" s="15" t="n">
        <v>95</v>
      </c>
      <c r="B96" s="15" t="inlineStr">
        <is>
          <t>Reports</t>
        </is>
      </c>
      <c r="C96" s="15" t="inlineStr">
        <is>
          <t>Member Risk / Star Performance year/plan validation</t>
        </is>
      </c>
      <c r="D96" s="15" t="inlineStr">
        <is>
          <t>Done</t>
        </is>
      </c>
      <c r="E96" s="15" t="inlineStr">
        <is>
          <t>-</t>
        </is>
      </c>
      <c r="F96" s="15" t="inlineStr">
        <is>
          <t>2026-10-07: Star Performance year/plan required, year list now current year - 4. Member Risk has only a user dropdown - nothing to validate</t>
        </is>
      </c>
    </row>
    <row r="97">
      <c r="A97" s="15" t="n">
        <v>96</v>
      </c>
      <c r="B97" s="15" t="inlineStr">
        <is>
          <t>Reports</t>
        </is>
      </c>
      <c r="C97" s="15" t="inlineStr">
        <is>
          <t>CSV export formula escaping (= + - @)</t>
        </is>
      </c>
      <c r="D97" s="15" t="inlineStr">
        <is>
          <t>Done</t>
        </is>
      </c>
      <c r="E97" s="15" t="inlineStr">
        <is>
          <t>-</t>
        </is>
      </c>
      <c r="F97" s="15" t="inlineStr">
        <is>
          <t>2026-10-07: csvCell() on Appointments, Outreach, Gaps CSV. Pipe-delimited gaps feed unchanged (data format)</t>
        </is>
      </c>
    </row>
    <row r="98">
      <c r="A98" s="15" t="n">
        <v>97</v>
      </c>
      <c r="B98" s="15" t="inlineStr">
        <is>
          <t>Global</t>
        </is>
      </c>
      <c r="C98" s="15" t="inlineStr">
        <is>
          <t>Inactivity logout (10 min)</t>
        </is>
      </c>
      <c r="D98" s="15" t="inlineStr">
        <is>
          <t>Done</t>
        </is>
      </c>
      <c r="E98" s="15" t="inlineStr">
        <is>
          <t>-</t>
        </is>
      </c>
      <c r="F98" s="15" t="inlineStr">
        <is>
          <t>auth.service.ts</t>
        </is>
      </c>
    </row>
    <row r="99">
      <c r="A99" s="15" t="n">
        <v>98</v>
      </c>
      <c r="B99" s="15" t="inlineStr">
        <is>
          <t>Global</t>
        </is>
      </c>
      <c r="C99" s="15" t="inlineStr">
        <is>
          <t>Token refresh + retry on 401</t>
        </is>
      </c>
      <c r="D99" s="15" t="inlineStr">
        <is>
          <t>Done</t>
        </is>
      </c>
      <c r="E99" s="15" t="inlineStr">
        <is>
          <t>-</t>
        </is>
      </c>
      <c r="F99" s="15" t="inlineStr">
        <is>
          <t>token.interceptor.ts</t>
        </is>
      </c>
    </row>
    <row r="100">
      <c r="A100" s="15" t="n">
        <v>99</v>
      </c>
      <c r="B100" s="15" t="inlineStr">
        <is>
          <t>Global</t>
        </is>
      </c>
      <c r="C100" s="15" t="inlineStr">
        <is>
          <t>Sidebar hides menus by role</t>
        </is>
      </c>
      <c r="D100" s="15" t="inlineStr">
        <is>
          <t>Done</t>
        </is>
      </c>
      <c r="E100" s="15" t="inlineStr">
        <is>
          <t>-</t>
        </is>
      </c>
      <c r="F100" s="15" t="inlineStr">
        <is>
          <t>Cosmetic only</t>
        </is>
      </c>
    </row>
    <row r="101">
      <c r="A101" s="15" t="n">
        <v>100</v>
      </c>
      <c r="B101" s="15" t="inlineStr">
        <is>
          <t>Global</t>
        </is>
      </c>
      <c r="C101" s="15" t="inlineStr">
        <is>
          <t>Page access check</t>
        </is>
      </c>
      <c r="D101" s="15" t="inlineStr">
        <is>
          <t>Done</t>
        </is>
      </c>
      <c r="E101" s="15" t="inlineStr">
        <is>
          <t>-</t>
        </is>
      </c>
      <c r="F101" s="15" t="inlineStr">
        <is>
          <t>2026-10-07: authGuard checks page access before the page loads. Still client-side; Lambdas are the real control</t>
        </is>
      </c>
    </row>
    <row r="102">
      <c r="A102" s="15" t="n">
        <v>101</v>
      </c>
      <c r="B102" s="15" t="inlineStr">
        <is>
          <t>Global</t>
        </is>
      </c>
      <c r="C102" s="15" t="inlineStr">
        <is>
          <t>Route guards (auth + role)</t>
        </is>
      </c>
      <c r="D102" s="15" t="inlineStr">
        <is>
          <t>Done</t>
        </is>
      </c>
      <c r="E102" s="15" t="inlineStr">
        <is>
          <t>-</t>
        </is>
      </c>
      <c r="F102" s="15" t="inlineStr">
        <is>
          <t>2026-10-07: authGuard on every app route (login, pending password change, page access); changePasswordGuard</t>
        </is>
      </c>
    </row>
    <row r="103">
      <c r="A103" s="15" t="n">
        <v>102</v>
      </c>
      <c r="B103" s="15" t="inlineStr">
        <is>
          <t>Global</t>
        </is>
      </c>
      <c r="C103" s="15" t="inlineStr">
        <is>
          <t>Escape HTML in call history (XSS)</t>
        </is>
      </c>
      <c r="D103" s="15" t="inlineStr">
        <is>
          <t>Done</t>
        </is>
      </c>
      <c r="E103" s="15" t="inlineStr">
        <is>
          <t>-</t>
        </is>
      </c>
      <c r="F103" s="15" t="inlineStr">
        <is>
          <t>2026-10-07: shared escapeHtml on call list (and benefits dates); benefits link only for https URLs</t>
        </is>
      </c>
    </row>
    <row r="104">
      <c r="A104" s="15" t="n">
        <v>103</v>
      </c>
      <c r="B104" s="15" t="inlineStr">
        <is>
          <t>Global</t>
        </is>
      </c>
      <c r="C104" s="15" t="inlineStr">
        <is>
          <t>Cognito client secret not in browser</t>
        </is>
      </c>
      <c r="D104" s="15" t="inlineStr">
        <is>
          <t>Done</t>
        </is>
      </c>
      <c r="E104" s="15" t="inlineStr">
        <is>
          <t>-</t>
        </is>
      </c>
      <c r="F104" s="15" t="inlineStr">
        <is>
          <t>2026-10-07: verified - dev uses public app client, no secret/SecretHash in frontend. Prod must also use a public client</t>
        </is>
      </c>
    </row>
    <row r="105">
      <c r="A105" s="15" t="n">
        <v>104</v>
      </c>
      <c r="B105" s="15" t="inlineStr">
        <is>
          <t>Global</t>
        </is>
      </c>
      <c r="C105" s="15" t="inlineStr">
        <is>
          <t>Global 403 handler</t>
        </is>
      </c>
      <c r="D105" s="15" t="inlineStr">
        <is>
          <t>Done</t>
        </is>
      </c>
      <c r="E105" s="15" t="inlineStr">
        <is>
          <t>-</t>
        </is>
      </c>
      <c r="F105" s="15" t="inlineStr">
        <is>
          <t>2026-10-07: interceptor shows a 'no permission' message on 403 when logged in; error still passed to page</t>
        </is>
      </c>
    </row>
    <row r="106">
      <c r="A106" s="15" t="n">
        <v>105</v>
      </c>
      <c r="B106" s="15" t="inlineStr">
        <is>
          <t>Global</t>
        </is>
      </c>
      <c r="C106" s="15" t="inlineStr">
        <is>
          <t>Integer-only directives used</t>
        </is>
      </c>
      <c r="D106" s="15" t="inlineStr">
        <is>
          <t>Done</t>
        </is>
      </c>
      <c r="E106" s="15" t="inlineStr">
        <is>
          <t>-</t>
        </is>
      </c>
      <c r="F106" s="15" t="inlineStr">
        <is>
          <t>2026-10-07: N/A - directives strip leading zeros (breaks OTP). OTP inputs now strip non-digits in onOtpInput</t>
        </is>
      </c>
    </row>
    <row r="107">
      <c r="A107" s="15" t="n">
        <v>106</v>
      </c>
      <c r="B107" s="15" t="inlineStr">
        <is>
          <t>Global</t>
        </is>
      </c>
      <c r="C107" s="15" t="inlineStr">
        <is>
          <t>Storage encryption</t>
        </is>
      </c>
      <c r="D107" s="15" t="inlineStr">
        <is>
          <t>Done</t>
        </is>
      </c>
      <c r="E107" s="15" t="inlineStr">
        <is>
          <t>-</t>
        </is>
      </c>
      <c r="F107" s="15" t="inlineStr">
        <is>
          <t>2026-10-07: decided not to enable - key would ship in bundle. Verified only staff profile stored (tokens in memory); removed unused CryptoService with hard-coded key</t>
        </is>
      </c>
    </row>
    <row r="108">
      <c r="A108" s="15" t="n">
        <v>107</v>
      </c>
      <c r="B108" s="15" t="inlineStr">
        <is>
          <t>Global</t>
        </is>
      </c>
      <c r="C108" s="15" t="inlineStr">
        <is>
          <t>Remove console.log (PHI)</t>
        </is>
      </c>
      <c r="D108" s="15" t="inlineStr">
        <is>
          <t>Done</t>
        </is>
      </c>
      <c r="E108" s="15" t="inlineStr">
        <is>
          <t>-</t>
        </is>
      </c>
      <c r="F108" s="15" t="inlineStr">
        <is>
          <t>2026-10-07: removed outside Add Action (error-reporting, file attach, outreach, importers)</t>
        </is>
      </c>
    </row>
    <row r="109">
      <c r="A109" s="15" t="n">
        <v>108</v>
      </c>
      <c r="B109" s="15" t="inlineStr">
        <is>
          <t>Transfer Member</t>
        </is>
      </c>
      <c r="C109" s="15" t="inlineStr">
        <is>
          <t>CLOSE button must not submit the form</t>
        </is>
      </c>
      <c r="D109" s="15" t="inlineStr">
        <is>
          <t>Done</t>
        </is>
      </c>
      <c r="E109" s="15" t="inlineStr">
        <is>
          <t>-</t>
        </is>
      </c>
      <c r="F109" s="15" t="inlineStr">
        <is>
          <t>2026-10-07: CLOSE had no type, so it submitted the form and could run the transfer; now type="button"</t>
        </is>
      </c>
    </row>
    <row r="110">
      <c r="A110" s="15" t="n">
        <v>109</v>
      </c>
      <c r="B110" s="15" t="inlineStr">
        <is>
          <t>Assign Plan</t>
        </is>
      </c>
      <c r="C110" s="15" t="inlineStr">
        <is>
          <t>CLOSE button must not submit the form</t>
        </is>
      </c>
      <c r="D110" s="15" t="inlineStr">
        <is>
          <t>Done</t>
        </is>
      </c>
      <c r="E110" s="15" t="inlineStr">
        <is>
          <t>-</t>
        </is>
      </c>
      <c r="F110" s="15" t="inlineStr">
        <is>
          <t>2026-10-07: CLOSE had no type, so it could run the assignment; now type="button"</t>
        </is>
      </c>
    </row>
    <row r="111">
      <c r="A111" s="15" t="n">
        <v>110</v>
      </c>
      <c r="B111" s="15" t="inlineStr">
        <is>
          <t>Reports</t>
        </is>
      </c>
      <c r="C111" s="15" t="inlineStr">
        <is>
          <t>Appointments SEARCH runs once</t>
        </is>
      </c>
      <c r="D111" s="15" t="inlineStr">
        <is>
          <t>Done</t>
        </is>
      </c>
      <c r="E111" s="15" t="inlineStr">
        <is>
          <t>-</t>
        </is>
      </c>
      <c r="F111" s="15" t="inlineStr">
        <is>
          <t>2026-10-07: removed duplicate (click) - the form submit already runs applyFilter()</t>
        </is>
      </c>
    </row>
    <row r="112">
      <c r="A112" s="15" t="n">
        <v>111</v>
      </c>
      <c r="B112" s="15" t="inlineStr">
        <is>
          <t>Process File (CSV)</t>
        </is>
      </c>
      <c r="C112" s="15" t="inlineStr">
        <is>
          <t>File picker accepts .csv by extension</t>
        </is>
      </c>
      <c r="D112" s="15" t="inlineStr">
        <is>
          <t>Done</t>
        </is>
      </c>
      <c r="E112" s="15" t="inlineStr">
        <is>
          <t>-</t>
        </is>
      </c>
      <c r="F112" s="15" t="inlineStr">
        <is>
          <t>2026-10-07: all 5 importers check the .csv extension (not MIME), accept=.csv, message shown on rejection</t>
        </is>
      </c>
    </row>
    <row r="113">
      <c r="A113" s="15" t="n">
        <v>112</v>
      </c>
      <c r="B113" s="15" t="inlineStr">
        <is>
          <t>Process File (CSV)</t>
        </is>
      </c>
      <c r="C113" s="15" t="inlineStr">
        <is>
          <t>Confirm before PROCESS; warn when error rows exist</t>
        </is>
      </c>
      <c r="D113" s="15" t="inlineStr">
        <is>
          <t>Done</t>
        </is>
      </c>
      <c r="E113" s="15" t="inlineStr">
        <is>
          <t>-</t>
        </is>
      </c>
      <c r="F113" s="15" t="inlineStr">
        <is>
          <t>2026-10-07: app confirm dialog before PROCESS on all 5 importers; warns with error row count when &gt; 0</t>
        </is>
      </c>
    </row>
    <row r="114">
      <c r="A114" s="15" t="n">
        <v>113</v>
      </c>
      <c r="B114" s="15" t="inlineStr">
        <is>
          <t>Reports</t>
        </is>
      </c>
      <c r="C114" s="15" t="inlineStr">
        <is>
          <t>Gaps Report REMOVE uses app confirm dialog</t>
        </is>
      </c>
      <c r="D114" s="15" t="inlineStr">
        <is>
          <t>Done</t>
        </is>
      </c>
      <c r="E114" s="15" t="inlineStr">
        <is>
          <t>-</t>
        </is>
      </c>
      <c r="F114" s="15" t="inlineStr">
        <is>
          <t>2026-10-07: confirmAction() app dialog replaces native confirm()</t>
        </is>
      </c>
    </row>
    <row r="115">
      <c r="A115" s="15" t="n">
        <v>114</v>
      </c>
      <c r="B115" s="15" t="inlineStr">
        <is>
          <t>Alternate Address</t>
        </is>
      </c>
      <c r="C115" s="15" t="inlineStr">
        <is>
          <t>Alternate Address date not in future</t>
        </is>
      </c>
      <c r="D115" s="15" t="inlineStr">
        <is>
          <t>Done</t>
        </is>
      </c>
      <c r="E115" s="15" t="inlineStr">
        <is>
          <t>-</t>
        </is>
      </c>
      <c r="F115" s="15" t="inlineStr">
        <is>
          <t>2026-10-07: NotFutureDateValidator + datepicker [max]=today. (Stray ~star-performance.html not touched)</t>
        </is>
      </c>
    </row>
  </sheetData>
  <autoFilter ref="A1:F115"/>
  <conditionalFormatting sqref="A2:F108">
    <cfRule type="expression" priority="1" dxfId="0">
      <formula>$D2="Done"</formula>
    </cfRule>
    <cfRule type="expression" priority="2" dxfId="1">
      <formula>$D2="Partial"</formula>
    </cfRule>
    <cfRule type="expression" priority="3" dxfId="2">
      <formula>$D2="To Do"</formula>
    </cfRule>
  </conditionalFormatting>
  <conditionalFormatting sqref="A109:F115">
    <cfRule type="expression" priority="4" dxfId="0">
      <formula>$D109="Done"</formula>
    </cfRule>
    <cfRule type="expression" priority="5" dxfId="1">
      <formula>$D109="Partial"</formula>
    </cfRule>
    <cfRule type="expression" priority="6" dxfId="2">
      <formula>$D109="To Do"</formula>
    </cfRule>
  </conditionalFormatting>
  <dataValidations count="2">
    <dataValidation sqref="D2:D115" showDropDown="0" showInputMessage="0" showErrorMessage="0" allowBlank="0" type="list">
      <formula1>"Done,Partial,To Do"</formula1>
    </dataValidation>
    <dataValidation sqref="E2:E115" showDropDown="0" showInputMessage="0" showErrorMessage="0" allowBlank="0" type="list">
      <formula1>"P1,P2,P3,-"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52" customWidth="1" min="3" max="3"/>
    <col width="10" customWidth="1" min="4" max="4"/>
    <col width="9" customWidth="1" min="5" max="5"/>
    <col width="60" customWidth="1" min="6" max="6"/>
  </cols>
  <sheetData>
    <row r="1">
      <c r="A1" s="14" t="inlineStr">
        <is>
          <t>#</t>
        </is>
      </c>
      <c r="B1" s="14" t="inlineStr">
        <is>
          <t>Lambda / Area</t>
        </is>
      </c>
      <c r="C1" s="14" t="inlineStr">
        <is>
          <t>Validation / Restriction</t>
        </is>
      </c>
      <c r="D1" s="14" t="inlineStr">
        <is>
          <t>Status</t>
        </is>
      </c>
      <c r="E1" s="14" t="inlineStr">
        <is>
          <t>Priority</t>
        </is>
      </c>
      <c r="F1" s="14" t="inlineStr">
        <is>
          <t>Where / Notes</t>
        </is>
      </c>
    </row>
    <row r="2">
      <c r="A2" s="15" t="n">
        <v>1</v>
      </c>
      <c r="B2" s="15" t="inlineStr">
        <is>
          <t>prismUploadplandocument</t>
        </is>
      </c>
      <c r="C2" s="15" t="inlineStr">
        <is>
          <t>Caller auth (Cognito sub)</t>
        </is>
      </c>
      <c r="D2" s="15" t="inlineStr">
        <is>
          <t>To Do</t>
        </is>
      </c>
      <c r="E2" s="15" t="inlineStr">
        <is>
          <t>P1</t>
        </is>
      </c>
      <c r="F2" s="15" t="inlineStr">
        <is>
          <t>Only a TODO at line 61 - earlier audit wrongly marked Done</t>
        </is>
      </c>
    </row>
    <row r="3">
      <c r="A3" s="15" t="n">
        <v>2</v>
      </c>
      <c r="B3" s="15" t="inlineStr">
        <is>
          <t>prismUploadplandocument</t>
        </is>
      </c>
      <c r="C3" s="15" t="inlineStr">
        <is>
          <t>Role / owner check for plan id</t>
        </is>
      </c>
      <c r="D3" s="15" t="inlineStr">
        <is>
          <t>To Do</t>
        </is>
      </c>
      <c r="E3" s="15" t="inlineStr">
        <is>
          <t>P1</t>
        </is>
      </c>
      <c r="F3" s="15" t="inlineStr">
        <is>
          <t>Earlier audit wrongly marked Done</t>
        </is>
      </c>
    </row>
    <row r="4">
      <c r="A4" s="15" t="n">
        <v>3</v>
      </c>
      <c r="B4" s="15" t="inlineStr">
        <is>
          <t>prismUploadplandocument</t>
        </is>
      </c>
      <c r="C4" s="15" t="inlineStr">
        <is>
          <t>Safe filename (no path traversal)</t>
        </is>
      </c>
      <c r="D4" s="15" t="inlineStr">
        <is>
          <t>Done</t>
        </is>
      </c>
      <c r="E4" s="15" t="inlineStr">
        <is>
          <t>-</t>
        </is>
      </c>
      <c r="F4" s="15" t="inlineStr">
        <is>
          <t>SAFE_FILENAME_RE + no '..'</t>
        </is>
      </c>
    </row>
    <row r="5">
      <c r="A5" s="15" t="n">
        <v>4</v>
      </c>
      <c r="B5" s="15" t="inlineStr">
        <is>
          <t>prismUploadplandocument</t>
        </is>
      </c>
      <c r="C5" s="15" t="inlineStr">
        <is>
          <t>Fixed bucket (not from client)</t>
        </is>
      </c>
      <c r="D5" s="15" t="inlineStr">
        <is>
          <t>Done</t>
        </is>
      </c>
      <c r="E5" s="15" t="inlineStr">
        <is>
          <t>-</t>
        </is>
      </c>
      <c r="F5" s="15" t="inlineStr">
        <is>
          <t>ALLOWED_BUCKET</t>
        </is>
      </c>
    </row>
    <row r="6">
      <c r="A6" s="15" t="n">
        <v>5</v>
      </c>
      <c r="B6" s="15" t="inlineStr">
        <is>
          <t>prismUploadplandocument</t>
        </is>
      </c>
      <c r="C6" s="15" t="inlineStr">
        <is>
          <t>Signed URL expiry 5 min</t>
        </is>
      </c>
      <c r="D6" s="15" t="inlineStr">
        <is>
          <t>Done</t>
        </is>
      </c>
      <c r="E6" s="15" t="inlineStr">
        <is>
          <t>-</t>
        </is>
      </c>
      <c r="F6" s="15" t="inlineStr"/>
    </row>
    <row r="7">
      <c r="A7" s="15" t="n">
        <v>6</v>
      </c>
      <c r="B7" s="15" t="inlineStr">
        <is>
          <t>prismUploadplandocument</t>
        </is>
      </c>
      <c r="C7" s="15" t="inlineStr">
        <is>
          <t>CORS origin allow-list + OPTIONS</t>
        </is>
      </c>
      <c r="D7" s="15" t="inlineStr">
        <is>
          <t>Partial</t>
        </is>
      </c>
      <c r="E7" s="15" t="inlineStr">
        <is>
          <t>P2</t>
        </is>
      </c>
      <c r="F7" s="15" t="inlineStr">
        <is>
          <t>Prod list has http:// dev + localhost; falls back to localhost</t>
        </is>
      </c>
    </row>
    <row r="8">
      <c r="A8" s="15" t="n">
        <v>7</v>
      </c>
      <c r="B8" s="15" t="inlineStr">
        <is>
          <t>prismUploadplandocument</t>
        </is>
      </c>
      <c r="C8" s="15" t="inlineStr">
        <is>
          <t>directory allow-list</t>
        </is>
      </c>
      <c r="D8" s="15" t="inlineStr">
        <is>
          <t>To Do</t>
        </is>
      </c>
      <c r="E8" s="15" t="inlineStr">
        <is>
          <t>P1</t>
        </is>
      </c>
      <c r="F8" s="15" t="inlineStr">
        <is>
          <t>Goes straight into S3 key</t>
        </is>
      </c>
    </row>
    <row r="9">
      <c r="A9" s="15" t="n">
        <v>8</v>
      </c>
      <c r="B9" s="15" t="inlineStr">
        <is>
          <t>prismUploadplandocument</t>
        </is>
      </c>
      <c r="C9" s="15" t="inlineStr">
        <is>
          <t>id integer check</t>
        </is>
      </c>
      <c r="D9" s="15" t="inlineStr">
        <is>
          <t>To Do</t>
        </is>
      </c>
      <c r="E9" s="15" t="inlineStr">
        <is>
          <t>P2</t>
        </is>
      </c>
      <c r="F9" s="15" t="inlineStr"/>
    </row>
    <row r="10">
      <c r="A10" s="15" t="n">
        <v>9</v>
      </c>
      <c r="B10" s="15" t="inlineStr">
        <is>
          <t>prismUploadplandocument</t>
        </is>
      </c>
      <c r="C10" s="15" t="inlineStr">
        <is>
          <t>env allow-list / pattern</t>
        </is>
      </c>
      <c r="D10" s="15" t="inlineStr">
        <is>
          <t>To Do</t>
        </is>
      </c>
      <c r="E10" s="15" t="inlineStr">
        <is>
          <t>P2</t>
        </is>
      </c>
      <c r="F10" s="15" t="inlineStr"/>
    </row>
    <row r="11">
      <c r="A11" s="15" t="n">
        <v>10</v>
      </c>
      <c r="B11" s="15" t="inlineStr">
        <is>
          <t>prismUploadplandocument</t>
        </is>
      </c>
      <c r="C11" s="15" t="inlineStr">
        <is>
          <t>File type / extension allow-list</t>
        </is>
      </c>
      <c r="D11" s="15" t="inlineStr">
        <is>
          <t>To Do</t>
        </is>
      </c>
      <c r="E11" s="15" t="inlineStr">
        <is>
          <t>P2</t>
        </is>
      </c>
      <c r="F11" s="15" t="inlineStr"/>
    </row>
    <row r="12">
      <c r="A12" s="15" t="n">
        <v>11</v>
      </c>
      <c r="B12" s="15" t="inlineStr">
        <is>
          <t>prismUploadplandocument</t>
        </is>
      </c>
      <c r="C12" s="15" t="inlineStr">
        <is>
          <t>File size limit</t>
        </is>
      </c>
      <c r="D12" s="15" t="inlineStr">
        <is>
          <t>To Do</t>
        </is>
      </c>
      <c r="E12" s="15" t="inlineStr">
        <is>
          <t>P2</t>
        </is>
      </c>
      <c r="F12" s="15" t="inlineStr">
        <is>
          <t>Use presigned POST with content-length-range</t>
        </is>
      </c>
    </row>
    <row r="13">
      <c r="A13" s="15" t="n">
        <v>12</v>
      </c>
      <c r="B13" s="15" t="inlineStr">
        <is>
          <t>prismdeleteAttachment</t>
        </is>
      </c>
      <c r="C13" s="15" t="inlineStr">
        <is>
          <t>Caller auth + owner check</t>
        </is>
      </c>
      <c r="D13" s="15" t="inlineStr">
        <is>
          <t>To Do</t>
        </is>
      </c>
      <c r="E13" s="15" t="inlineStr">
        <is>
          <t>P1</t>
        </is>
      </c>
      <c r="F13" s="15" t="inlineStr">
        <is>
          <t>Any id can be deleted or repointed</t>
        </is>
      </c>
    </row>
    <row r="14">
      <c r="A14" s="15" t="n">
        <v>13</v>
      </c>
      <c r="B14" s="15" t="inlineStr">
        <is>
          <t>prismdeleteAttachment</t>
        </is>
      </c>
      <c r="C14" s="15" t="inlineStr">
        <is>
          <t>id integer check</t>
        </is>
      </c>
      <c r="D14" s="15" t="inlineStr">
        <is>
          <t>Done</t>
        </is>
      </c>
      <c r="E14" s="15" t="inlineStr">
        <is>
          <t>-</t>
        </is>
      </c>
      <c r="F14" s="15" t="inlineStr"/>
    </row>
    <row r="15">
      <c r="A15" s="15" t="n">
        <v>14</v>
      </c>
      <c r="B15" s="15" t="inlineStr">
        <is>
          <t>prismdeleteAttachment</t>
        </is>
      </c>
      <c r="C15" s="15" t="inlineStr">
        <is>
          <t>replace_url must be own-bucket https URL</t>
        </is>
      </c>
      <c r="D15" s="15" t="inlineStr">
        <is>
          <t>Done</t>
        </is>
      </c>
      <c r="E15" s="15" t="inlineStr">
        <is>
          <t>-</t>
        </is>
      </c>
      <c r="F15" s="15" t="inlineStr">
        <is>
          <t>isOwnBucketUrl; old URL read from DB</t>
        </is>
      </c>
    </row>
    <row r="16">
      <c r="A16" s="15" t="n">
        <v>15</v>
      </c>
      <c r="B16" s="15" t="inlineStr">
        <is>
          <t>prismGetattachmentListbytypeId</t>
        </is>
      </c>
      <c r="C16" s="15" t="inlineStr">
        <is>
          <t>Caller auth + owner check</t>
        </is>
      </c>
      <c r="D16" s="15" t="inlineStr">
        <is>
          <t>To Do</t>
        </is>
      </c>
      <c r="E16" s="15" t="inlineStr">
        <is>
          <t>P1</t>
        </is>
      </c>
      <c r="F16" s="15" t="inlineStr">
        <is>
          <t>New file, untracked</t>
        </is>
      </c>
    </row>
    <row r="17">
      <c r="A17" s="15" t="n">
        <v>16</v>
      </c>
      <c r="B17" s="15" t="inlineStr">
        <is>
          <t>prismGetattachmentListbytypeId</t>
        </is>
      </c>
      <c r="C17" s="15" t="inlineStr">
        <is>
          <t>type_id integer check</t>
        </is>
      </c>
      <c r="D17" s="15" t="inlineStr">
        <is>
          <t>Done</t>
        </is>
      </c>
      <c r="E17" s="15" t="inlineStr">
        <is>
          <t>-</t>
        </is>
      </c>
      <c r="F17" s="15" t="inlineStr"/>
    </row>
    <row r="18">
      <c r="A18" s="15" t="n">
        <v>17</v>
      </c>
      <c r="B18" s="15" t="inlineStr">
        <is>
          <t>prismGetattachmentListbytypeId</t>
        </is>
      </c>
      <c r="C18" s="15" t="inlineStr">
        <is>
          <t>type allow-list</t>
        </is>
      </c>
      <c r="D18" s="15" t="inlineStr">
        <is>
          <t>To Do</t>
        </is>
      </c>
      <c r="E18" s="15" t="inlineStr">
        <is>
          <t>P2</t>
        </is>
      </c>
      <c r="F18" s="15" t="inlineStr"/>
    </row>
    <row r="19">
      <c r="A19" s="15" t="n">
        <v>18</v>
      </c>
      <c r="B19" s="15" t="inlineStr">
        <is>
          <t>prismMultiplefieldupdate</t>
        </is>
      </c>
      <c r="C19" s="15" t="inlineStr">
        <is>
          <t>Caller auth + role check</t>
        </is>
      </c>
      <c r="D19" s="15" t="inlineStr">
        <is>
          <t>To Do</t>
        </is>
      </c>
      <c r="E19" s="15" t="inlineStr">
        <is>
          <t>P1</t>
        </is>
      </c>
      <c r="F19" s="15" t="inlineStr">
        <is>
          <t>Can update ROLE_PAGE_ACCESS, MEM_MEMBERS, etc.</t>
        </is>
      </c>
    </row>
    <row r="20">
      <c r="A20" s="15" t="n">
        <v>19</v>
      </c>
      <c r="B20" s="15" t="inlineStr">
        <is>
          <t>prismMultiplefieldupdate</t>
        </is>
      </c>
      <c r="C20" s="15" t="inlineStr">
        <is>
          <t>Table + id-column allow-list, required, no blanks</t>
        </is>
      </c>
      <c r="D20" s="15" t="inlineStr">
        <is>
          <t>Done</t>
        </is>
      </c>
      <c r="E20" s="15" t="inlineStr">
        <is>
          <t>-</t>
        </is>
      </c>
      <c r="F20" s="15" t="inlineStr"/>
    </row>
    <row r="21">
      <c r="A21" s="15" t="n">
        <v>20</v>
      </c>
      <c r="B21" s="15" t="inlineStr">
        <is>
          <t>prismMultiplefieldupdate</t>
        </is>
      </c>
      <c r="C21" s="15" t="inlineStr">
        <is>
          <t>Column allow-list</t>
        </is>
      </c>
      <c r="D21" s="15" t="inlineStr">
        <is>
          <t>To Do</t>
        </is>
      </c>
      <c r="E21" s="15" t="inlineStr">
        <is>
          <t>P1</t>
        </is>
      </c>
      <c r="F21" s="15" t="inlineStr"/>
    </row>
    <row r="22">
      <c r="A22" s="15" t="n">
        <v>21</v>
      </c>
      <c r="B22" s="15" t="inlineStr">
        <is>
          <t>prismMultipleRowAndFieldUpdate</t>
        </is>
      </c>
      <c r="C22" s="15" t="inlineStr">
        <is>
          <t>Caller auth + role check</t>
        </is>
      </c>
      <c r="D22" s="15" t="inlineStr">
        <is>
          <t>To Do</t>
        </is>
      </c>
      <c r="E22" s="15" t="inlineStr">
        <is>
          <t>P1</t>
        </is>
      </c>
      <c r="F22" s="15" t="inlineStr">
        <is>
          <t>Can set Care_Coordinator_id to self</t>
        </is>
      </c>
    </row>
    <row r="23">
      <c r="A23" s="15" t="n">
        <v>22</v>
      </c>
      <c r="B23" s="15" t="inlineStr">
        <is>
          <t>prismMultipleRowAndFieldUpdate</t>
        </is>
      </c>
      <c r="C23" s="15" t="inlineStr">
        <is>
          <t>Table + id-column allow-list</t>
        </is>
      </c>
      <c r="D23" s="15" t="inlineStr">
        <is>
          <t>Done</t>
        </is>
      </c>
      <c r="E23" s="15" t="inlineStr">
        <is>
          <t>-</t>
        </is>
      </c>
      <c r="F23" s="15" t="inlineStr"/>
    </row>
    <row r="24">
      <c r="A24" s="15" t="n">
        <v>23</v>
      </c>
      <c r="B24" s="15" t="inlineStr">
        <is>
          <t>prismMultipleRowAndFieldUpdate</t>
        </is>
      </c>
      <c r="C24" s="15" t="inlineStr">
        <is>
          <t>Column allow-list / max rows / value checks</t>
        </is>
      </c>
      <c r="D24" s="15" t="inlineStr">
        <is>
          <t>To Do</t>
        </is>
      </c>
      <c r="E24" s="15" t="inlineStr">
        <is>
          <t>P2</t>
        </is>
      </c>
      <c r="F24" s="15" t="inlineStr"/>
    </row>
    <row r="25">
      <c r="A25" s="15" t="n">
        <v>24</v>
      </c>
      <c r="B25" s="15" t="inlineStr">
        <is>
          <t>prismMultipleRowInsert</t>
        </is>
      </c>
      <c r="C25" s="15" t="inlineStr">
        <is>
          <t>Caller auth + Admin gate for ROLE_PAGE_ACCESS</t>
        </is>
      </c>
      <c r="D25" s="15" t="inlineStr">
        <is>
          <t>To Do</t>
        </is>
      </c>
      <c r="E25" s="15" t="inlineStr">
        <is>
          <t>P1</t>
        </is>
      </c>
      <c r="F25" s="15" t="inlineStr"/>
    </row>
    <row r="26">
      <c r="A26" s="15" t="n">
        <v>25</v>
      </c>
      <c r="B26" s="15" t="inlineStr">
        <is>
          <t>prismMultipleRowInsert</t>
        </is>
      </c>
      <c r="C26" s="15" t="inlineStr">
        <is>
          <t>Table allow-list + required fields</t>
        </is>
      </c>
      <c r="D26" s="15" t="inlineStr">
        <is>
          <t>Done</t>
        </is>
      </c>
      <c r="E26" s="15" t="inlineStr">
        <is>
          <t>-</t>
        </is>
      </c>
      <c r="F26" s="15" t="inlineStr"/>
    </row>
    <row r="27">
      <c r="A27" s="15" t="n">
        <v>26</v>
      </c>
      <c r="B27" s="15" t="inlineStr">
        <is>
          <t>prismMultipleinsert</t>
        </is>
      </c>
      <c r="C27" s="15" t="inlineStr">
        <is>
          <t>Caller auth</t>
        </is>
      </c>
      <c r="D27" s="15" t="inlineStr">
        <is>
          <t>Done</t>
        </is>
      </c>
      <c r="E27" s="15" t="inlineStr">
        <is>
          <t>-</t>
        </is>
      </c>
      <c r="F27" s="15" t="inlineStr"/>
    </row>
    <row r="28">
      <c r="A28" s="15" t="n">
        <v>27</v>
      </c>
      <c r="B28" s="15" t="inlineStr">
        <is>
          <t>prismMultipleinsert</t>
        </is>
      </c>
      <c r="C28" s="15" t="inlineStr">
        <is>
          <t>Admin-only for ROLE_PAGE_ACCESS</t>
        </is>
      </c>
      <c r="D28" s="15" t="inlineStr">
        <is>
          <t>Partial</t>
        </is>
      </c>
      <c r="E28" s="15" t="inlineStr">
        <is>
          <t>P2</t>
        </is>
      </c>
      <c r="F28" s="15" t="inlineStr">
        <is>
          <t>Temp tables not Admin-gated</t>
        </is>
      </c>
    </row>
    <row r="29">
      <c r="A29" s="15" t="n">
        <v>28</v>
      </c>
      <c r="B29" s="15" t="inlineStr">
        <is>
          <t>prismMultipleinsert</t>
        </is>
      </c>
      <c r="C29" s="15" t="inlineStr">
        <is>
          <t>Table allow-list, required fields, batching</t>
        </is>
      </c>
      <c r="D29" s="15" t="inlineStr">
        <is>
          <t>Done</t>
        </is>
      </c>
      <c r="E29" s="15" t="inlineStr">
        <is>
          <t>-</t>
        </is>
      </c>
      <c r="F29" s="15" t="inlineStr"/>
    </row>
    <row r="30">
      <c r="A30" s="15" t="n">
        <v>29</v>
      </c>
      <c r="B30" s="15" t="inlineStr">
        <is>
          <t>prismMultipleinsert</t>
        </is>
      </c>
      <c r="C30" s="15" t="inlineStr">
        <is>
          <t>Column allow-list per table</t>
        </is>
      </c>
      <c r="D30" s="15" t="inlineStr">
        <is>
          <t>To Do</t>
        </is>
      </c>
      <c r="E30" s="15" t="inlineStr">
        <is>
          <t>P2</t>
        </is>
      </c>
      <c r="F30" s="15" t="inlineStr"/>
    </row>
    <row r="31">
      <c r="A31" s="15" t="n">
        <v>30</v>
      </c>
      <c r="B31" s="15" t="inlineStr">
        <is>
          <t>prismMultipleinsert</t>
        </is>
      </c>
      <c r="C31" s="15" t="inlineStr">
        <is>
          <t>Member ownership for medicaid_id rows</t>
        </is>
      </c>
      <c r="D31" s="15" t="inlineStr">
        <is>
          <t>To Do</t>
        </is>
      </c>
      <c r="E31" s="15" t="inlineStr">
        <is>
          <t>P2</t>
        </is>
      </c>
      <c r="F31" s="15" t="inlineStr"/>
    </row>
    <row r="32">
      <c r="A32" s="15" t="n">
        <v>31</v>
      </c>
      <c r="B32" s="15" t="inlineStr">
        <is>
          <t>prismMultipleinsert</t>
        </is>
      </c>
      <c r="C32" s="15" t="inlineStr">
        <is>
          <t>Format / length checks (phone, zip, email, dates)</t>
        </is>
      </c>
      <c r="D32" s="15" t="inlineStr">
        <is>
          <t>To Do</t>
        </is>
      </c>
      <c r="E32" s="15" t="inlineStr">
        <is>
          <t>P2</t>
        </is>
      </c>
      <c r="F32" s="15" t="inlineStr"/>
    </row>
    <row r="33">
      <c r="A33" s="15" t="n">
        <v>32</v>
      </c>
      <c r="B33" s="15" t="inlineStr">
        <is>
          <t>prismMultipleinsert</t>
        </is>
      </c>
      <c r="C33" s="15" t="inlineStr">
        <is>
          <t>Max rows</t>
        </is>
      </c>
      <c r="D33" s="15" t="inlineStr">
        <is>
          <t>To Do</t>
        </is>
      </c>
      <c r="E33" s="15" t="inlineStr">
        <is>
          <t>P3</t>
        </is>
      </c>
      <c r="F33" s="15" t="inlineStr"/>
    </row>
    <row r="34">
      <c r="A34" s="15" t="n">
        <v>33</v>
      </c>
      <c r="B34" s="15" t="inlineStr">
        <is>
          <t>All inserts</t>
        </is>
      </c>
      <c r="C34" s="15" t="inlineStr">
        <is>
          <t>Audit fields (added_by, log_by, refer_by) set from caller sub</t>
        </is>
      </c>
      <c r="D34" s="15" t="inlineStr">
        <is>
          <t>To Do</t>
        </is>
      </c>
      <c r="E34" s="15" t="inlineStr">
        <is>
          <t>P1</t>
        </is>
      </c>
      <c r="F34" s="15" t="inlineStr">
        <is>
          <t>Currently trusted from client</t>
        </is>
      </c>
    </row>
    <row r="35">
      <c r="A35" s="15" t="n">
        <v>34</v>
      </c>
      <c r="B35" s="15" t="inlineStr">
        <is>
          <t>prismUpdateCognitoUser</t>
        </is>
      </c>
      <c r="C35" s="15" t="inlineStr">
        <is>
          <t>Caller auth + Admin/self check</t>
        </is>
      </c>
      <c r="D35" s="15" t="inlineStr">
        <is>
          <t>To Do</t>
        </is>
      </c>
      <c r="E35" s="15" t="inlineStr">
        <is>
          <t>P1</t>
        </is>
      </c>
      <c r="F35" s="15" t="inlineStr">
        <is>
          <t>Anyone can reset any password</t>
        </is>
      </c>
    </row>
    <row r="36">
      <c r="A36" s="15" t="n">
        <v>35</v>
      </c>
      <c r="B36" s="15" t="inlineStr">
        <is>
          <t>prismUpdateCognitoUser</t>
        </is>
      </c>
      <c r="C36" s="15" t="inlineStr">
        <is>
          <t>Attribute allow-list + password policy</t>
        </is>
      </c>
      <c r="D36" s="15" t="inlineStr">
        <is>
          <t>Done</t>
        </is>
      </c>
      <c r="E36" s="15" t="inlineStr">
        <is>
          <t>-</t>
        </is>
      </c>
      <c r="F36" s="15" t="inlineStr"/>
    </row>
    <row r="37">
      <c r="A37" s="15" t="n">
        <v>36</v>
      </c>
      <c r="B37" s="15" t="inlineStr">
        <is>
          <t>prismUpdateCognitoUser</t>
        </is>
      </c>
      <c r="C37" s="15" t="inlineStr">
        <is>
          <t>Missing username -&gt; 400 (not 500)</t>
        </is>
      </c>
      <c r="D37" s="15" t="inlineStr">
        <is>
          <t>To Do</t>
        </is>
      </c>
      <c r="E37" s="15" t="inlineStr">
        <is>
          <t>P3</t>
        </is>
      </c>
      <c r="F37" s="15" t="inlineStr"/>
    </row>
    <row r="38">
      <c r="A38" s="15" t="n">
        <v>37</v>
      </c>
      <c r="B38" s="15" t="inlineStr">
        <is>
          <t>prismUserPasswordUpdate</t>
        </is>
      </c>
      <c r="C38" s="15" t="inlineStr">
        <is>
          <t>Caller auth + ownership</t>
        </is>
      </c>
      <c r="D38" s="15" t="inlineStr">
        <is>
          <t>To Do</t>
        </is>
      </c>
      <c r="E38" s="15" t="inlineStr">
        <is>
          <t>P1</t>
        </is>
      </c>
      <c r="F38" s="15" t="inlineStr"/>
    </row>
    <row r="39">
      <c r="A39" s="15" t="n">
        <v>38</v>
      </c>
      <c r="B39" s="15" t="inlineStr">
        <is>
          <t>prismUserPasswordUpdate</t>
        </is>
      </c>
      <c r="C39" s="15" t="inlineStr">
        <is>
          <t>ID + password required, 15-char policy</t>
        </is>
      </c>
      <c r="D39" s="15" t="inlineStr">
        <is>
          <t>Done</t>
        </is>
      </c>
      <c r="E39" s="15" t="inlineStr">
        <is>
          <t>-</t>
        </is>
      </c>
      <c r="F39" s="15" t="inlineStr"/>
    </row>
    <row r="40">
      <c r="A40" s="15" t="n">
        <v>39</v>
      </c>
      <c r="B40" s="15" t="inlineStr">
        <is>
          <t>prismUserPasswordUpdate</t>
        </is>
      </c>
      <c r="C40" s="15" t="inlineStr">
        <is>
          <t>ID integer check</t>
        </is>
      </c>
      <c r="D40" s="15" t="inlineStr">
        <is>
          <t>To Do</t>
        </is>
      </c>
      <c r="E40" s="15" t="inlineStr">
        <is>
          <t>P3</t>
        </is>
      </c>
      <c r="F40" s="15" t="inlineStr"/>
    </row>
    <row r="41">
      <c r="A41" s="15" t="n">
        <v>40</v>
      </c>
      <c r="B41" s="15" t="inlineStr">
        <is>
          <t>prismCreateCognitoUser</t>
        </is>
      </c>
      <c r="C41" s="15" t="inlineStr">
        <is>
          <t>Caller auth + Admin check</t>
        </is>
      </c>
      <c r="D41" s="15" t="inlineStr">
        <is>
          <t>To Do</t>
        </is>
      </c>
      <c r="E41" s="15" t="inlineStr">
        <is>
          <t>P1</t>
        </is>
      </c>
      <c r="F41" s="15" t="inlineStr"/>
    </row>
    <row r="42">
      <c r="A42" s="15" t="n">
        <v>41</v>
      </c>
      <c r="B42" s="15" t="inlineStr">
        <is>
          <t>prismCreateCognitoUser</t>
        </is>
      </c>
      <c r="C42" s="15" t="inlineStr">
        <is>
          <t>Email format, policy, numeric role</t>
        </is>
      </c>
      <c r="D42" s="15" t="inlineStr">
        <is>
          <t>Done</t>
        </is>
      </c>
      <c r="E42" s="15" t="inlineStr">
        <is>
          <t>-</t>
        </is>
      </c>
      <c r="F42" s="15" t="inlineStr"/>
    </row>
    <row r="43">
      <c r="A43" s="15" t="n">
        <v>42</v>
      </c>
      <c r="B43" s="15" t="inlineStr">
        <is>
          <t>prismCreateUser</t>
        </is>
      </c>
      <c r="C43" s="15" t="inlineStr">
        <is>
          <t>Caller auth + Admin check</t>
        </is>
      </c>
      <c r="D43" s="15" t="inlineStr">
        <is>
          <t>To Do</t>
        </is>
      </c>
      <c r="E43" s="15" t="inlineStr">
        <is>
          <t>P1</t>
        </is>
      </c>
      <c r="F43" s="15" t="inlineStr"/>
    </row>
    <row r="44">
      <c r="A44" s="15" t="n">
        <v>43</v>
      </c>
      <c r="B44" s="15" t="inlineStr">
        <is>
          <t>prismCreateUser</t>
        </is>
      </c>
      <c r="C44" s="15" t="inlineStr">
        <is>
          <t>Required, trim, length, email, status, policy, 409 duplicate</t>
        </is>
      </c>
      <c r="D44" s="15" t="inlineStr">
        <is>
          <t>Done</t>
        </is>
      </c>
      <c r="E44" s="15" t="inlineStr">
        <is>
          <t>-</t>
        </is>
      </c>
      <c r="F44" s="15" t="inlineStr"/>
    </row>
    <row r="45">
      <c r="A45" s="15" t="n">
        <v>44</v>
      </c>
      <c r="B45" s="15" t="inlineStr">
        <is>
          <t>prismCreateUser</t>
        </is>
      </c>
      <c r="C45" s="15" t="inlineStr">
        <is>
          <t>Role / department exist in master tables</t>
        </is>
      </c>
      <c r="D45" s="15" t="inlineStr">
        <is>
          <t>To Do</t>
        </is>
      </c>
      <c r="E45" s="15" t="inlineStr">
        <is>
          <t>P2</t>
        </is>
      </c>
      <c r="F45" s="15" t="inlineStr"/>
    </row>
    <row r="46">
      <c r="A46" s="15" t="n">
        <v>45</v>
      </c>
      <c r="B46" s="15" t="inlineStr">
        <is>
          <t>prismUpdateUser</t>
        </is>
      </c>
      <c r="C46" s="15" t="inlineStr">
        <is>
          <t>Caller auth + Admin</t>
        </is>
      </c>
      <c r="D46" s="15" t="inlineStr">
        <is>
          <t>Done</t>
        </is>
      </c>
      <c r="E46" s="15" t="inlineStr">
        <is>
          <t>-</t>
        </is>
      </c>
      <c r="F46" s="15" t="inlineStr"/>
    </row>
    <row r="47">
      <c r="A47" s="15" t="n">
        <v>46</v>
      </c>
      <c r="B47" s="15" t="inlineStr">
        <is>
          <t>prismUpdateUser</t>
        </is>
      </c>
      <c r="C47" s="15" t="inlineStr">
        <is>
          <t>Required, ints, status, optional policy</t>
        </is>
      </c>
      <c r="D47" s="15" t="inlineStr">
        <is>
          <t>Done</t>
        </is>
      </c>
      <c r="E47" s="15" t="inlineStr">
        <is>
          <t>-</t>
        </is>
      </c>
      <c r="F47" s="15" t="inlineStr"/>
    </row>
    <row r="48">
      <c r="A48" s="15" t="n">
        <v>47</v>
      </c>
      <c r="B48" s="15" t="inlineStr">
        <is>
          <t>prismUpdateUser</t>
        </is>
      </c>
      <c r="C48" s="15" t="inlineStr">
        <is>
          <t>Name length/trim, role/dept exist, Admin can't demote self</t>
        </is>
      </c>
      <c r="D48" s="15" t="inlineStr">
        <is>
          <t>To Do</t>
        </is>
      </c>
      <c r="E48" s="15" t="inlineStr">
        <is>
          <t>P2</t>
        </is>
      </c>
      <c r="F48" s="15" t="inlineStr"/>
    </row>
    <row r="49">
      <c r="A49" s="15" t="n">
        <v>48</v>
      </c>
      <c r="B49" s="15" t="inlineStr">
        <is>
          <t>loginSuccessReset</t>
        </is>
      </c>
      <c r="C49" s="15" t="inlineStr">
        <is>
          <t>Caller auth</t>
        </is>
      </c>
      <c r="D49" s="15" t="inlineStr">
        <is>
          <t>To Do</t>
        </is>
      </c>
      <c r="E49" s="15" t="inlineStr">
        <is>
          <t>P1</t>
        </is>
      </c>
      <c r="F49" s="15" t="inlineStr">
        <is>
          <t>Anyone can clear lockout counter</t>
        </is>
      </c>
    </row>
    <row r="50">
      <c r="A50" s="15" t="n">
        <v>49</v>
      </c>
      <c r="B50" s="15" t="inlineStr">
        <is>
          <t>prismAuthentication</t>
        </is>
      </c>
      <c r="C50" s="15" t="inlineStr">
        <is>
          <t>Username/password required, bcrypt, lock check (423), active only</t>
        </is>
      </c>
      <c r="D50" s="15" t="inlineStr">
        <is>
          <t>Done</t>
        </is>
      </c>
      <c r="E50" s="15" t="inlineStr">
        <is>
          <t>-</t>
        </is>
      </c>
      <c r="F50" s="15" t="inlineStr"/>
    </row>
    <row r="51">
      <c r="A51" s="15" t="n">
        <v>50</v>
      </c>
      <c r="B51" s="15" t="inlineStr">
        <is>
          <t>prismAuthentication</t>
        </is>
      </c>
      <c r="C51" s="15" t="inlineStr">
        <is>
          <t>Non-200 when password expired</t>
        </is>
      </c>
      <c r="D51" s="15" t="inlineStr">
        <is>
          <t>To Do</t>
        </is>
      </c>
      <c r="E51" s="15" t="inlineStr">
        <is>
          <t>P1</t>
        </is>
      </c>
      <c r="F51" s="15" t="inlineStr"/>
    </row>
    <row r="52">
      <c r="A52" s="15" t="n">
        <v>51</v>
      </c>
      <c r="B52" s="15" t="inlineStr">
        <is>
          <t>prismAuthentication</t>
        </is>
      </c>
      <c r="C52" s="15" t="inlineStr">
        <is>
          <t>Increment failed attempts server-side</t>
        </is>
      </c>
      <c r="D52" s="15" t="inlineStr">
        <is>
          <t>To Do</t>
        </is>
      </c>
      <c r="E52" s="15" t="inlineStr">
        <is>
          <t>P2</t>
        </is>
      </c>
      <c r="F52" s="15" t="inlineStr"/>
    </row>
    <row r="53">
      <c r="A53" s="15" t="n">
        <v>52</v>
      </c>
      <c r="B53" s="15" t="inlineStr">
        <is>
          <t>prismAuthentication</t>
        </is>
      </c>
      <c r="C53" s="15" t="inlineStr">
        <is>
          <t>Return only caller's role page access</t>
        </is>
      </c>
      <c r="D53" s="15" t="inlineStr">
        <is>
          <t>To Do</t>
        </is>
      </c>
      <c r="E53" s="15" t="inlineStr">
        <is>
          <t>P3</t>
        </is>
      </c>
      <c r="F53" s="15" t="inlineStr"/>
    </row>
    <row r="54">
      <c r="A54" s="15" t="n">
        <v>53</v>
      </c>
      <c r="B54" s="15" t="inlineStr">
        <is>
          <t>prismLockedCognitoUser</t>
        </is>
      </c>
      <c r="C54" s="15" t="inlineStr">
        <is>
          <t>Caller auth: Admin, or no-token call only when DB LOCKED = 1</t>
        </is>
      </c>
      <c r="D54" s="15" t="inlineStr">
        <is>
          <t>Done</t>
        </is>
      </c>
      <c r="E54" s="15" t="inlineStr">
        <is>
          <t>-</t>
        </is>
      </c>
      <c r="F54" s="15" t="inlineStr">
        <is>
          <t>2026-10-06: login page can now disable an account the DB has already locked</t>
        </is>
      </c>
    </row>
    <row r="55">
      <c r="A55" s="15" t="n">
        <v>54</v>
      </c>
      <c r="B55" s="15" t="inlineStr">
        <is>
          <t>prismLockedCognitoUser</t>
        </is>
      </c>
      <c r="C55" s="15" t="inlineStr">
        <is>
          <t>No error.message echo</t>
        </is>
      </c>
      <c r="D55" s="15" t="inlineStr">
        <is>
          <t>To Do</t>
        </is>
      </c>
      <c r="E55" s="15" t="inlineStr">
        <is>
          <t>P3</t>
        </is>
      </c>
      <c r="F55" s="15" t="inlineStr"/>
    </row>
    <row r="56">
      <c r="A56" s="15" t="n">
        <v>55</v>
      </c>
      <c r="B56" s="15" t="inlineStr">
        <is>
          <t>prismAdminUnLockedCognitoUser</t>
        </is>
      </c>
      <c r="C56" s="15" t="inlineStr">
        <is>
          <t>Caller auth + Admin, username required</t>
        </is>
      </c>
      <c r="D56" s="15" t="inlineStr">
        <is>
          <t>Done</t>
        </is>
      </c>
      <c r="E56" s="15" t="inlineStr">
        <is>
          <t>-</t>
        </is>
      </c>
      <c r="F56" s="15" t="inlineStr"/>
    </row>
    <row r="57">
      <c r="A57" s="15" t="n">
        <v>56</v>
      </c>
      <c r="B57" s="15" t="inlineStr">
        <is>
          <t>prismdeleteGapObservations</t>
        </is>
      </c>
      <c r="C57" s="15" t="inlineStr">
        <is>
          <t>Caller auth, &lt;=500 records, id integer, Type check</t>
        </is>
      </c>
      <c r="D57" s="15" t="inlineStr">
        <is>
          <t>Done</t>
        </is>
      </c>
      <c r="E57" s="15" t="inlineStr">
        <is>
          <t>-</t>
        </is>
      </c>
      <c r="F57" s="15" t="inlineStr"/>
    </row>
    <row r="58">
      <c r="A58" s="15" t="n">
        <v>57</v>
      </c>
      <c r="B58" s="15" t="inlineStr">
        <is>
          <t>prismdeleteGapObservations</t>
        </is>
      </c>
      <c r="C58" s="15" t="inlineStr">
        <is>
          <t>Record id belongs to subscriber_number</t>
        </is>
      </c>
      <c r="D58" s="15" t="inlineStr">
        <is>
          <t>To Do</t>
        </is>
      </c>
      <c r="E58" s="15" t="inlineStr">
        <is>
          <t>P2</t>
        </is>
      </c>
      <c r="F58" s="15" t="inlineStr"/>
    </row>
    <row r="59">
      <c r="A59" s="15" t="n">
        <v>58</v>
      </c>
      <c r="B59" s="15" t="inlineStr">
        <is>
          <t>prismdeleteGapObservations</t>
        </is>
      </c>
      <c r="C59" s="15" t="inlineStr">
        <is>
          <t>Admin bypass</t>
        </is>
      </c>
      <c r="D59" s="15" t="inlineStr">
        <is>
          <t>To Do</t>
        </is>
      </c>
      <c r="E59" s="15" t="inlineStr">
        <is>
          <t>P3</t>
        </is>
      </c>
      <c r="F59" s="15" t="inlineStr">
        <is>
          <t>Admin gets 403</t>
        </is>
      </c>
    </row>
    <row r="60">
      <c r="A60" s="15" t="n">
        <v>59</v>
      </c>
      <c r="B60" s="15" t="inlineStr">
        <is>
          <t>prismUpdategapStatus / prismUpdatequalityStatus</t>
        </is>
      </c>
      <c r="C60" s="15" t="inlineStr">
        <is>
          <t>Caller auth + Admin or owner</t>
        </is>
      </c>
      <c r="D60" s="15" t="inlineStr">
        <is>
          <t>Done</t>
        </is>
      </c>
      <c r="E60" s="15" t="inlineStr">
        <is>
          <t>-</t>
        </is>
      </c>
      <c r="F60" s="15" t="inlineStr"/>
    </row>
    <row r="61">
      <c r="A61" s="15" t="n">
        <v>60</v>
      </c>
      <c r="B61" s="15" t="inlineStr">
        <is>
          <t>prismUpdategapStatus / prismUpdatequalityStatus</t>
        </is>
      </c>
      <c r="C61" s="15" t="inlineStr">
        <is>
          <t>action_id integer + code format</t>
        </is>
      </c>
      <c r="D61" s="15" t="inlineStr">
        <is>
          <t>To Do</t>
        </is>
      </c>
      <c r="E61" s="15" t="inlineStr">
        <is>
          <t>P3</t>
        </is>
      </c>
      <c r="F61" s="15" t="inlineStr"/>
    </row>
    <row r="62">
      <c r="A62" s="15" t="n">
        <v>61</v>
      </c>
      <c r="B62" s="15" t="inlineStr">
        <is>
          <t>prismUnSetMemberGapsStatus / prismUnSetqualityStatus</t>
        </is>
      </c>
      <c r="C62" s="15" t="inlineStr">
        <is>
          <t>Caller auth + Admin or owner</t>
        </is>
      </c>
      <c r="D62" s="15" t="inlineStr">
        <is>
          <t>Done</t>
        </is>
      </c>
      <c r="E62" s="15" t="inlineStr">
        <is>
          <t>-</t>
        </is>
      </c>
      <c r="F62" s="15" t="inlineStr"/>
    </row>
    <row r="63">
      <c r="A63" s="15" t="n">
        <v>62</v>
      </c>
      <c r="B63" s="15" t="inlineStr">
        <is>
          <t>prismUnSetMemberGapsStatus / prismUnSetqualityStatus</t>
        </is>
      </c>
      <c r="C63" s="15" t="inlineStr">
        <is>
          <t>action_id type check</t>
        </is>
      </c>
      <c r="D63" s="15" t="inlineStr">
        <is>
          <t>To Do</t>
        </is>
      </c>
      <c r="E63" s="15" t="inlineStr">
        <is>
          <t>P3</t>
        </is>
      </c>
      <c r="F63" s="15" t="inlineStr">
        <is>
          <t>Bound as VarChar in one</t>
        </is>
      </c>
    </row>
    <row r="64">
      <c r="A64" s="15" t="n">
        <v>63</v>
      </c>
      <c r="B64" s="15" t="inlineStr">
        <is>
          <t>prismUpdatePlanyearForRiskgap</t>
        </is>
      </c>
      <c r="C64" s="15" t="inlineStr">
        <is>
          <t>Caller auth + member ownership</t>
        </is>
      </c>
      <c r="D64" s="15" t="inlineStr">
        <is>
          <t>To Do</t>
        </is>
      </c>
      <c r="E64" s="15" t="inlineStr">
        <is>
          <t>P1</t>
        </is>
      </c>
      <c r="F64" s="15" t="inlineStr"/>
    </row>
    <row r="65">
      <c r="A65" s="15" t="n">
        <v>64</v>
      </c>
      <c r="B65" s="15" t="inlineStr">
        <is>
          <t>prismUpdatePlanyearForRiskgap</t>
        </is>
      </c>
      <c r="C65" s="15" t="inlineStr">
        <is>
          <t>Required, year range</t>
        </is>
      </c>
      <c r="D65" s="15" t="inlineStr">
        <is>
          <t>Done</t>
        </is>
      </c>
      <c r="E65" s="15" t="inlineStr">
        <is>
          <t>-</t>
        </is>
      </c>
      <c r="F65" s="15" t="inlineStr"/>
    </row>
    <row r="66">
      <c r="A66" s="15" t="n">
        <v>65</v>
      </c>
      <c r="B66" s="15" t="inlineStr">
        <is>
          <t>prismProcess* (Members/PCR/Quality/Risk)</t>
        </is>
      </c>
      <c r="C66" s="15" t="inlineStr">
        <is>
          <t>Caller auth + Admin, session_id numeric</t>
        </is>
      </c>
      <c r="D66" s="15" t="inlineStr">
        <is>
          <t>Done</t>
        </is>
      </c>
      <c r="E66" s="15" t="inlineStr">
        <is>
          <t>-</t>
        </is>
      </c>
      <c r="F66" s="15" t="inlineStr"/>
    </row>
    <row r="67">
      <c r="A67" s="15" t="n">
        <v>66</v>
      </c>
      <c r="B67" s="15" t="inlineStr">
        <is>
          <t>prismProcess* (Members/PCR/Quality/Risk)</t>
        </is>
      </c>
      <c r="C67" s="15" t="inlineStr">
        <is>
          <t>Validate staged rows before commit</t>
        </is>
      </c>
      <c r="D67" s="15" t="inlineStr">
        <is>
          <t>To Do</t>
        </is>
      </c>
      <c r="E67" s="15" t="inlineStr">
        <is>
          <t>P2</t>
        </is>
      </c>
      <c r="F67" s="15" t="inlineStr"/>
    </row>
    <row r="68">
      <c r="A68" s="15" t="n">
        <v>67</v>
      </c>
      <c r="B68" s="15" t="inlineStr">
        <is>
          <t>prismProcessStarPerformanceSeccionID</t>
        </is>
      </c>
      <c r="C68" s="15" t="inlineStr">
        <is>
          <t>Source in repo</t>
        </is>
      </c>
      <c r="D68" s="15" t="inlineStr">
        <is>
          <t>To Do</t>
        </is>
      </c>
      <c r="E68" s="15" t="inlineStr">
        <is>
          <t>P2</t>
        </is>
      </c>
      <c r="F68" s="15" t="inlineStr">
        <is>
          <t>Stub only</t>
        </is>
      </c>
    </row>
    <row r="69">
      <c r="A69" s="15" t="n">
        <v>68</v>
      </c>
      <c r="B69" s="15" t="inlineStr">
        <is>
          <t>prismGetUserMemberList</t>
        </is>
      </c>
      <c r="C69" s="15" t="inlineStr">
        <is>
          <t>Caller auth, non-admin forced to self</t>
        </is>
      </c>
      <c r="D69" s="15" t="inlineStr">
        <is>
          <t>Done</t>
        </is>
      </c>
      <c r="E69" s="15" t="inlineStr">
        <is>
          <t>-</t>
        </is>
      </c>
      <c r="F69" s="15" t="inlineStr"/>
    </row>
    <row r="70">
      <c r="A70" s="15" t="n">
        <v>69</v>
      </c>
      <c r="B70" s="15" t="inlineStr">
        <is>
          <t>prismGetMemberGapsList / Getcallhistory / MemberAllDetails</t>
        </is>
      </c>
      <c r="C70" s="15" t="inlineStr">
        <is>
          <t>Caller auth + Admin or owner</t>
        </is>
      </c>
      <c r="D70" s="15" t="inlineStr">
        <is>
          <t>Done</t>
        </is>
      </c>
      <c r="E70" s="15" t="inlineStr">
        <is>
          <t>-</t>
        </is>
      </c>
      <c r="F70" s="15" t="inlineStr"/>
    </row>
    <row r="71">
      <c r="A71" s="15" t="n">
        <v>70</v>
      </c>
      <c r="B71" s="15" t="inlineStr">
        <is>
          <t>prismGetMemberGapsList</t>
        </is>
      </c>
      <c r="C71" s="15" t="inlineStr">
        <is>
          <t>Year params checked</t>
        </is>
      </c>
      <c r="D71" s="15" t="inlineStr">
        <is>
          <t>To Do</t>
        </is>
      </c>
      <c r="E71" s="15" t="inlineStr">
        <is>
          <t>P3</t>
        </is>
      </c>
      <c r="F71" s="15" t="inlineStr"/>
    </row>
    <row r="72">
      <c r="A72" s="15" t="n">
        <v>71</v>
      </c>
      <c r="B72" s="15" t="inlineStr">
        <is>
          <t>prismGetappointmentList</t>
        </is>
      </c>
      <c r="C72" s="15" t="inlineStr">
        <is>
          <t>Caller auth + Admin or owner</t>
        </is>
      </c>
      <c r="D72" s="15" t="inlineStr">
        <is>
          <t>Done</t>
        </is>
      </c>
      <c r="E72" s="15" t="inlineStr">
        <is>
          <t>-</t>
        </is>
      </c>
      <c r="F72" s="15" t="inlineStr"/>
    </row>
    <row r="73">
      <c r="A73" s="15" t="n">
        <v>72</v>
      </c>
      <c r="B73" s="15" t="inlineStr">
        <is>
          <t>prismGetappointmentList</t>
        </is>
      </c>
      <c r="C73" s="15" t="inlineStr">
        <is>
          <t>Max date range</t>
        </is>
      </c>
      <c r="D73" s="15" t="inlineStr">
        <is>
          <t>To Do</t>
        </is>
      </c>
      <c r="E73" s="15" t="inlineStr">
        <is>
          <t>P3</t>
        </is>
      </c>
      <c r="F73" s="15" t="inlineStr"/>
    </row>
    <row r="74">
      <c r="A74" s="15" t="n">
        <v>73</v>
      </c>
      <c r="B74" s="15" t="inlineStr">
        <is>
          <t>prismGetMemberUpcommingTaskList</t>
        </is>
      </c>
      <c r="C74" s="15" t="inlineStr">
        <is>
          <t>Caller auth, non-admin forced to self</t>
        </is>
      </c>
      <c r="D74" s="15" t="inlineStr">
        <is>
          <t>Done</t>
        </is>
      </c>
      <c r="E74" s="15" t="inlineStr">
        <is>
          <t>-</t>
        </is>
      </c>
      <c r="F74" s="15" t="inlineStr"/>
    </row>
    <row r="75">
      <c r="A75" s="15" t="n">
        <v>74</v>
      </c>
      <c r="B75" s="15" t="inlineStr">
        <is>
          <t>prismLogdetailsbymedicaid</t>
        </is>
      </c>
      <c r="C75" s="15" t="inlineStr">
        <is>
          <t>Caller auth + Admin, date checks, max range</t>
        </is>
      </c>
      <c r="D75" s="15" t="inlineStr">
        <is>
          <t>Done</t>
        </is>
      </c>
      <c r="E75" s="15" t="inlineStr">
        <is>
          <t>-</t>
        </is>
      </c>
      <c r="F75" s="15" t="inlineStr"/>
    </row>
    <row r="76">
      <c r="A76" s="15" t="n">
        <v>75</v>
      </c>
      <c r="B76" s="15" t="inlineStr">
        <is>
          <t>prismGetPageAccessList / prismUserslist</t>
        </is>
      </c>
      <c r="C76" s="15" t="inlineStr">
        <is>
          <t>Caller auth + Admin</t>
        </is>
      </c>
      <c r="D76" s="15" t="inlineStr">
        <is>
          <t>Done</t>
        </is>
      </c>
      <c r="E76" s="15" t="inlineStr">
        <is>
          <t>-</t>
        </is>
      </c>
      <c r="F76" s="15" t="inlineStr"/>
    </row>
    <row r="77">
      <c r="A77" s="15" t="n">
        <v>76</v>
      </c>
      <c r="B77" s="15" t="inlineStr">
        <is>
          <t>prismGetproviderIdByTin</t>
        </is>
      </c>
      <c r="C77" s="15" t="inlineStr">
        <is>
          <t>TIN = 9 digits</t>
        </is>
      </c>
      <c r="D77" s="15" t="inlineStr">
        <is>
          <t>Done</t>
        </is>
      </c>
      <c r="E77" s="15" t="inlineStr">
        <is>
          <t>-</t>
        </is>
      </c>
      <c r="F77" s="15" t="inlineStr"/>
    </row>
    <row r="78">
      <c r="A78" s="15" t="n">
        <v>77</v>
      </c>
      <c r="B78" s="15" t="inlineStr">
        <is>
          <t>prismGetproviderIdByTin</t>
        </is>
      </c>
      <c r="C78" s="15" t="inlineStr">
        <is>
          <t>Caller auth</t>
        </is>
      </c>
      <c r="D78" s="15" t="inlineStr">
        <is>
          <t>To Do</t>
        </is>
      </c>
      <c r="E78" s="15" t="inlineStr">
        <is>
          <t>P3</t>
        </is>
      </c>
      <c r="F78" s="15" t="inlineStr">
        <is>
          <t>Low risk reference data</t>
        </is>
      </c>
    </row>
    <row r="79">
      <c r="A79" s="15" t="n">
        <v>78</v>
      </c>
      <c r="B79" s="15" t="inlineStr">
        <is>
          <t>27 endpoints with no source in repo</t>
        </is>
      </c>
      <c r="C79" s="15" t="inlineStr">
        <is>
          <t>Add source + auth/ownership checks</t>
        </is>
      </c>
      <c r="D79" s="15" t="inlineStr">
        <is>
          <t>To Do</t>
        </is>
      </c>
      <c r="E79" s="15" t="inlineStr">
        <is>
          <t>P2</t>
        </is>
      </c>
      <c r="F79" s="15" t="inlineStr">
        <is>
          <t>See VALIDATION_AUDIT.md section 2.1; prismGetUserByEmail = email enumeration risk</t>
        </is>
      </c>
    </row>
    <row r="80">
      <c r="A80" s="15" t="n">
        <v>79</v>
      </c>
      <c r="B80" s="15" t="inlineStr">
        <is>
          <t>API Gateway</t>
        </is>
      </c>
      <c r="C80" s="15" t="inlineStr">
        <is>
          <t>Cognito authorizer on all routes</t>
        </is>
      </c>
      <c r="D80" s="15" t="inlineStr">
        <is>
          <t>Partial</t>
        </is>
      </c>
      <c r="E80" s="15" t="inlineStr">
        <is>
          <t>P1</t>
        </is>
      </c>
      <c r="F80" s="15" t="inlineStr">
        <is>
          <t>Confirmed on some; login-flow routes have none</t>
        </is>
      </c>
    </row>
    <row r="81">
      <c r="A81" s="15" t="n">
        <v>80</v>
      </c>
      <c r="B81" s="15" t="inlineStr">
        <is>
          <t>All Lambdas</t>
        </is>
      </c>
      <c r="C81" s="15" t="inlineStr">
        <is>
          <t>SQL parameterisation</t>
        </is>
      </c>
      <c r="D81" s="15" t="inlineStr">
        <is>
          <t>Done</t>
        </is>
      </c>
      <c r="E81" s="15" t="inlineStr">
        <is>
          <t>-</t>
        </is>
      </c>
      <c r="F81" s="15" t="inlineStr"/>
    </row>
    <row r="82">
      <c r="A82" s="15" t="n">
        <v>81</v>
      </c>
      <c r="B82" s="15" t="inlineStr">
        <is>
          <t>All Lambdas</t>
        </is>
      </c>
      <c r="C82" s="15" t="inlineStr">
        <is>
          <t>Generic 500s, no SQL leak</t>
        </is>
      </c>
      <c r="D82" s="15" t="inlineStr">
        <is>
          <t>Done</t>
        </is>
      </c>
      <c r="E82" s="15" t="inlineStr">
        <is>
          <t>-</t>
        </is>
      </c>
      <c r="F82" s="15" t="inlineStr">
        <is>
          <t>Mostly</t>
        </is>
      </c>
    </row>
    <row r="83">
      <c r="A83" s="15" t="n">
        <v>82</v>
      </c>
      <c r="B83" s="15" t="inlineStr">
        <is>
          <t>All Lambdas</t>
        </is>
      </c>
      <c r="C83" s="15" t="inlineStr">
        <is>
          <t>System log for key actions</t>
        </is>
      </c>
      <c r="D83" s="15" t="inlineStr">
        <is>
          <t>Done</t>
        </is>
      </c>
      <c r="E83" s="15" t="inlineStr">
        <is>
          <t>-</t>
        </is>
      </c>
      <c r="F83" s="15" t="inlineStr"/>
    </row>
  </sheetData>
  <autoFilter ref="A1:F83"/>
  <conditionalFormatting sqref="A2:F83">
    <cfRule type="expression" priority="1" dxfId="0">
      <formula>$D2="Done"</formula>
    </cfRule>
    <cfRule type="expression" priority="2" dxfId="1">
      <formula>$D2="Partial"</formula>
    </cfRule>
    <cfRule type="expression" priority="3" dxfId="2">
      <formula>$D2="To Do"</formula>
    </cfRule>
  </conditionalFormatting>
  <dataValidations count="2">
    <dataValidation sqref="D2:D83" showDropDown="0" showInputMessage="0" showErrorMessage="0" allowBlank="0" type="list">
      <formula1>"Done,Partial,To Do"</formula1>
    </dataValidation>
    <dataValidation sqref="E2:E83" showDropDown="0" showInputMessage="0" showErrorMessage="0" allowBlank="0" type="list">
      <formula1>"P1,P2,P3,-"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2026-10-06T13:40:03Z</dcterms:created>
  <dcterms:modified xsi:type="dcterms:W3CDTF">2026-10-08T10:58:21Z</dcterms:modified>
</cp:coreProperties>
</file>