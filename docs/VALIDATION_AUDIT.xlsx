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1 Critical" sheetId="2" state="visible" r:id="rId2"/>
    <sheet name="Client-Side" sheetId="3" state="visible" r:id="rId3"/>
    <sheet name="Server-Side" sheetId="4" state="visible" r:id="rId4"/>
    <sheet name="Missing Endpoints" sheetId="5" state="visible" r:id="rId5"/>
    <sheet name="System Restrictions" sheetId="6" state="visible" r:id="rId6"/>
    <sheet name="Fix Order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sz val="10"/>
    </font>
    <font>
      <name val="Arial"/>
      <b val="1"/>
      <color rgb="001F3864"/>
      <sz val="16"/>
    </font>
    <font>
      <name val="Arial"/>
    </font>
    <font>
      <name val="Arial"/>
      <b val="1"/>
    </font>
    <font>
      <name val="Arial"/>
      <b val="1"/>
      <color rgb="001F3864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5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6" fillId="0" borderId="1" pivotButton="0" quotePrefix="0" xfId="0"/>
    <xf numFmtId="164" fontId="6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0" fontId="8" fillId="0" borderId="0" pivotButton="0" quotePrefix="0" xfId="0"/>
    <xf numFmtId="0" fontId="4" fillId="0" borderId="0" pivotButton="0" quotePrefix="0" xfId="0"/>
    <xf numFmtId="0" fontId="1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4" fillId="0" borderId="1" applyAlignment="1" pivotButton="0" quotePrefix="0" xfId="0">
      <alignment horizontal="center" vertical="top"/>
    </xf>
  </cellXfs>
  <cellStyles count="1">
    <cellStyle name="Normal" xfId="0" builtinId="0" hidden="0"/>
  </cellStyles>
  <dxfs count="8">
    <dxf>
      <font>
        <name val="Arial"/>
        <b val="1"/>
        <color rgb="00006100"/>
      </font>
      <fill>
        <patternFill patternType="solid">
          <fgColor rgb="00C6EFCE"/>
          <bgColor rgb="00C6EFCE"/>
        </patternFill>
      </fill>
    </dxf>
    <dxf>
      <font>
        <name val="Arial"/>
        <b val="1"/>
        <color rgb="009C5700"/>
      </font>
      <fill>
        <patternFill patternType="solid">
          <fgColor rgb="00FFEB9C"/>
          <bgColor rgb="00FFEB9C"/>
        </patternFill>
      </fill>
    </dxf>
    <dxf>
      <font>
        <name val="Arial"/>
        <b val="1"/>
        <color rgb="009C0006"/>
      </font>
      <fill>
        <patternFill patternType="solid">
          <fgColor rgb="00FFC7CE"/>
          <bgColor rgb="00FFC7CE"/>
        </patternFill>
      </fill>
    </dxf>
    <dxf>
      <font>
        <name val="Arial"/>
        <b val="1"/>
        <color rgb="00404040"/>
      </font>
      <fill>
        <patternFill patternType="solid">
          <fgColor rgb="00D9D9D9"/>
          <bgColor rgb="00D9D9D9"/>
        </patternFill>
      </fill>
    </dxf>
    <dxf>
      <font>
        <name val="Arial"/>
        <color rgb="00006100"/>
      </font>
      <fill>
        <patternFill patternType="solid">
          <fgColor rgb="00C6EFCE"/>
          <bgColor rgb="00C6EFCE"/>
        </patternFill>
      </fill>
    </dxf>
    <dxf>
      <font>
        <name val="Arial"/>
        <color rgb="009C5700"/>
      </font>
      <fill>
        <patternFill patternType="solid">
          <fgColor rgb="00FFEB9C"/>
          <bgColor rgb="00FFEB9C"/>
        </patternFill>
      </fill>
    </dxf>
    <dxf>
      <font>
        <name val="Arial"/>
        <color rgb="009C0006"/>
      </font>
      <fill>
        <patternFill patternType="solid">
          <fgColor rgb="00FFC7CE"/>
          <bgColor rgb="00FFC7CE"/>
        </patternFill>
      </fill>
    </dxf>
    <dxf>
      <font>
        <name val="Arial"/>
        <color rgb="00404040"/>
      </font>
      <fill>
        <patternFill patternType="solid">
          <fgColor rgb="00D9D9D9"/>
          <bgColor rgb="00D9D9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P1Gaps" displayName="P1Gaps" ref="A4:F18" headerRowCount="1">
  <autoFilter ref="A4:F18"/>
  <tableColumns count="6">
    <tableColumn id="1" name="#"/>
    <tableColumn id="2" name="Priority"/>
    <tableColumn id="3" name="Gap"/>
    <tableColumn id="4" name="Where"/>
    <tableColumn id="5" name="Impact"/>
    <tableColumn id="6" name="Fix Status"/>
  </tableColumns>
  <tableStyleInfo name="TableStyleLight1" showRowStripes="1"/>
</table>
</file>

<file path=xl/tables/table2.xml><?xml version="1.0" encoding="utf-8"?>
<table xmlns="http://schemas.openxmlformats.org/spreadsheetml/2006/main" id="2" name="ClientSide" displayName="ClientSide" ref="A4:D111" headerRowCount="1">
  <autoFilter ref="A4:D111"/>
  <tableColumns count="4">
    <tableColumn id="1" name="Page / Dialog"/>
    <tableColumn id="2" name="Field / Rule"/>
    <tableColumn id="3" name="Status"/>
    <tableColumn id="4" name="Notes / What is missing"/>
  </tableColumns>
  <tableStyleInfo name="TableStyleLight1" showRowStripes="1"/>
</table>
</file>

<file path=xl/tables/table3.xml><?xml version="1.0" encoding="utf-8"?>
<table xmlns="http://schemas.openxmlformats.org/spreadsheetml/2006/main" id="3" name="ServerSide" displayName="ServerSide" ref="A4:E32" headerRowCount="1">
  <autoFilter ref="A4:E32"/>
  <tableColumns count="5">
    <tableColumn id="1" name="Lambda"/>
    <tableColumn id="2" name="Auth (caller sub)"/>
    <tableColumn id="3" name="Role / Ownership"/>
    <tableColumn id="4" name="Input validation done"/>
    <tableColumn id="5" name="Missing"/>
  </tableColumns>
  <tableStyleInfo name="TableStyleLight1" showRowStripes="1"/>
</table>
</file>

<file path=xl/tables/table4.xml><?xml version="1.0" encoding="utf-8"?>
<table xmlns="http://schemas.openxmlformats.org/spreadsheetml/2006/main" id="4" name="MissingEndpoints" displayName="MissingEndpoints" ref="A4:D34" headerRowCount="1">
  <autoFilter ref="A4:D34"/>
  <tableColumns count="4">
    <tableColumn id="1" name="#"/>
    <tableColumn id="2" name="Endpoint"/>
    <tableColumn id="3" name="Status"/>
    <tableColumn id="4" name="Action"/>
  </tableColumns>
  <tableStyleInfo name="TableStyleLight1" showRowStripes="1"/>
</table>
</file>

<file path=xl/tables/table5.xml><?xml version="1.0" encoding="utf-8"?>
<table xmlns="http://schemas.openxmlformats.org/spreadsheetml/2006/main" id="5" name="SystemRestrictions" displayName="SystemRestrictions" ref="A4:D37" headerRowCount="1">
  <autoFilter ref="A4:D37"/>
  <tableColumns count="4">
    <tableColumn id="1" name="Area"/>
    <tableColumn id="2" name="Restriction"/>
    <tableColumn id="3" name="Status"/>
    <tableColumn id="4" name="Notes"/>
  </tableColumns>
  <tableStyleInfo name="TableStyleLight1" showRowStripes="1"/>
</table>
</file>

<file path=xl/tables/table6.xml><?xml version="1.0" encoding="utf-8"?>
<table xmlns="http://schemas.openxmlformats.org/spreadsheetml/2006/main" id="6" name="FixOrder" displayName="FixOrder" ref="A4:D10" headerRowCount="1">
  <autoFilter ref="A4:D10"/>
  <tableColumns count="4">
    <tableColumn id="1" name="Step"/>
    <tableColumn id="2" name="Scope"/>
    <tableColumn id="3" name="Action"/>
    <tableColumn id="4" name="Status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4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</cols>
  <sheetData>
    <row r="1">
      <c r="A1" s="1" t="inlineStr">
        <is>
          <t>PRISM CIH Web - Validation &amp; Restriction Audit</t>
        </is>
      </c>
    </row>
    <row r="2">
      <c r="A2" s="2" t="inlineStr">
        <is>
          <t>Audit date 2026-10-03 | branch dev | static review of src/app and lambda-functions/. Counts are live formulas over the detail sheets.</t>
        </is>
      </c>
    </row>
    <row r="4">
      <c r="A4" s="3" t="inlineStr">
        <is>
          <t>Area</t>
        </is>
      </c>
      <c r="B4" s="3" t="inlineStr">
        <is>
          <t>Done</t>
        </is>
      </c>
      <c r="C4" s="3" t="inlineStr">
        <is>
          <t>Partial</t>
        </is>
      </c>
      <c r="D4" s="3" t="inlineStr">
        <is>
          <t>Missing</t>
        </is>
      </c>
      <c r="E4" s="3" t="inlineStr">
        <is>
          <t>Total</t>
        </is>
      </c>
      <c r="F4" s="3" t="inlineStr">
        <is>
          <t>% Done</t>
        </is>
      </c>
    </row>
    <row r="5">
      <c r="A5" s="4" t="inlineStr">
        <is>
          <t>Client-side rules</t>
        </is>
      </c>
      <c r="B5" s="4">
        <f>COUNTIF('Client-Side'!$C$5:$C$111,"Done")</f>
        <v/>
      </c>
      <c r="C5" s="4">
        <f>COUNTIF('Client-Side'!$C$5:$C$111,"Partial")</f>
        <v/>
      </c>
      <c r="D5" s="4">
        <f>COUNTIF('Client-Side'!$C$5:$C$111,"Missing")</f>
        <v/>
      </c>
      <c r="E5" s="4">
        <f>SUM(B5:D5)</f>
        <v/>
      </c>
      <c r="F5" s="5">
        <f>IF(E5=0,0,B5/E5)</f>
        <v/>
      </c>
    </row>
    <row r="6">
      <c r="A6" s="4" t="inlineStr">
        <is>
          <t>Server-side: auth check per Lambda</t>
        </is>
      </c>
      <c r="B6" s="4">
        <f>COUNTIF('Server-Side'!$B$5:$B$32,"Done")</f>
        <v/>
      </c>
      <c r="C6" s="4">
        <f>COUNTIF('Server-Side'!$B$5:$B$32,"Partial")</f>
        <v/>
      </c>
      <c r="D6" s="4">
        <f>COUNTIF('Server-Side'!$B$5:$B$32,"Missing")</f>
        <v/>
      </c>
      <c r="E6" s="4">
        <f>SUM(B6:D6)</f>
        <v/>
      </c>
      <c r="F6" s="5">
        <f>IF(E6=0,0,B6/E6)</f>
        <v/>
      </c>
    </row>
    <row r="7">
      <c r="A7" s="4" t="inlineStr">
        <is>
          <t>System restrictions</t>
        </is>
      </c>
      <c r="B7" s="4">
        <f>COUNTIF('System Restrictions'!$C$5:$C$37,"Done")</f>
        <v/>
      </c>
      <c r="C7" s="4">
        <f>COUNTIF('System Restrictions'!$C$5:$C$37,"Partial")</f>
        <v/>
      </c>
      <c r="D7" s="4">
        <f>COUNTIF('System Restrictions'!$C$5:$C$37,"Missing")</f>
        <v/>
      </c>
      <c r="E7" s="4">
        <f>SUM(B7:D7)</f>
        <v/>
      </c>
      <c r="F7" s="5">
        <f>IF(E7=0,0,B7/E7)</f>
        <v/>
      </c>
    </row>
    <row r="8">
      <c r="A8" s="6" t="inlineStr">
        <is>
          <t>Total</t>
        </is>
      </c>
      <c r="B8" s="6">
        <f>SUM(B5:B7)</f>
        <v/>
      </c>
      <c r="C8" s="6">
        <f>SUM(C5:C7)</f>
        <v/>
      </c>
      <c r="D8" s="6">
        <f>SUM(D5:D7)</f>
        <v/>
      </c>
      <c r="E8" s="6">
        <f>SUM(E5:E7)</f>
        <v/>
      </c>
      <c r="F8" s="7">
        <f>IF(E8=0,0,B8/E8)</f>
        <v/>
      </c>
    </row>
    <row r="9"/>
    <row r="10">
      <c r="A10" s="8" t="inlineStr">
        <is>
          <t>Other counts</t>
        </is>
      </c>
    </row>
    <row r="11">
      <c r="A11" s="4" t="inlineStr">
        <is>
          <t>P1 critical gaps</t>
        </is>
      </c>
      <c r="B11" s="6">
        <f>COUNTA('P1 Critical'!C5:C18)</f>
        <v/>
      </c>
    </row>
    <row r="12">
      <c r="A12" s="4" t="inlineStr">
        <is>
          <t>P1 gaps still open</t>
        </is>
      </c>
      <c r="B12" s="6">
        <f>COUNTIF('P1 Critical'!F5:F18,"Open")</f>
        <v/>
      </c>
    </row>
    <row r="13">
      <c r="A13" s="4" t="inlineStr">
        <is>
          <t>Endpoints with no source in repo</t>
        </is>
      </c>
      <c r="B13" s="6">
        <f>COUNTA('Missing Endpoints'!B5:B34)</f>
        <v/>
      </c>
    </row>
    <row r="14">
      <c r="A14" s="4" t="inlineStr">
        <is>
          <t>Lambda rows reviewed</t>
        </is>
      </c>
      <c r="B14" s="6">
        <f>COUNTA('Server-Side'!A5:A32)</f>
        <v/>
      </c>
    </row>
    <row r="15"/>
    <row r="16">
      <c r="A16" s="8" t="inlineStr">
        <is>
          <t>How to use</t>
        </is>
      </c>
    </row>
    <row r="17">
      <c r="A17" s="9" t="inlineStr">
        <is>
          <t>- Track fixes in 'Fix Status' (P1 Critical) and 'Status' (Fix Order): Open / In progress / Fixed.</t>
        </is>
      </c>
    </row>
    <row r="18">
      <c r="A18" s="9" t="inlineStr">
        <is>
          <t>- When a rule is fixed, set its Status on the detail sheet to Done; the table above recalculates.</t>
        </is>
      </c>
    </row>
    <row r="19">
      <c r="A19" s="9" t="inlineStr">
        <is>
          <t>- Status values: Done, Partial, Missing, Unknown (= source not in repo).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45" customWidth="1" min="3" max="3"/>
    <col width="40" customWidth="1" min="4" max="4"/>
    <col width="60" customWidth="1" min="5" max="5"/>
    <col width="12" customWidth="1" min="6" max="6"/>
  </cols>
  <sheetData>
    <row r="1">
      <c r="A1" s="10" t="inlineStr">
        <is>
          <t>Top Priority Gaps (P1)</t>
        </is>
      </c>
    </row>
    <row r="2">
      <c r="A2" s="2" t="inlineStr">
        <is>
          <t>Source: docs/VALIDATION_AUDIT.md | audit date 2026-10-03 | branch dev | static code review</t>
        </is>
      </c>
    </row>
    <row r="4">
      <c r="A4" s="11" t="inlineStr">
        <is>
          <t>#</t>
        </is>
      </c>
      <c r="B4" s="11" t="inlineStr">
        <is>
          <t>Priority</t>
        </is>
      </c>
      <c r="C4" s="11" t="inlineStr">
        <is>
          <t>Gap</t>
        </is>
      </c>
      <c r="D4" s="11" t="inlineStr">
        <is>
          <t>Where</t>
        </is>
      </c>
      <c r="E4" s="11" t="inlineStr">
        <is>
          <t>Impact</t>
        </is>
      </c>
      <c r="F4" s="11" t="inlineStr">
        <is>
          <t>Fix Status</t>
        </is>
      </c>
    </row>
    <row r="5">
      <c r="A5" s="12" t="n">
        <v>1</v>
      </c>
      <c r="B5" s="12" t="inlineStr">
        <is>
          <t>P1</t>
        </is>
      </c>
      <c r="C5" s="12" t="inlineStr">
        <is>
          <t>No caller / role check on the generic update endpoint</t>
        </is>
      </c>
      <c r="D5" s="12" t="inlineStr">
        <is>
          <t>prismMultiplefieldupdate.js</t>
        </is>
      </c>
      <c r="E5" s="12" t="inlineStr">
        <is>
          <t>Any user can update ROLE_PAGE_ACCESS (grant own role any page), MEM_MEMBERS (no-longer-patient flag), plans, attachments, tasks</t>
        </is>
      </c>
      <c r="F5" s="12" t="inlineStr">
        <is>
          <t>Open</t>
        </is>
      </c>
    </row>
    <row r="6">
      <c r="A6" s="12" t="n">
        <v>2</v>
      </c>
      <c r="B6" s="12" t="inlineStr">
        <is>
          <t>P1</t>
        </is>
      </c>
      <c r="C6" s="12" t="inlineStr">
        <is>
          <t>No caller / role check on the bulk update endpoint</t>
        </is>
      </c>
      <c r="D6" s="12" t="inlineStr">
        <is>
          <t>prismMultipleRowAndFieldUpdate.js</t>
        </is>
      </c>
      <c r="E6" s="12" t="inlineStr">
        <is>
          <t>Any user can set MEM_OUTREACH_MEMBERS.Care_Coordinator_id to themselves, which bypasses every ownership check in the select/gap Lambdas</t>
        </is>
      </c>
      <c r="F6" s="12" t="inlineStr">
        <is>
          <t>Open</t>
        </is>
      </c>
    </row>
    <row r="7">
      <c r="A7" s="12" t="n">
        <v>3</v>
      </c>
      <c r="B7" s="12" t="inlineStr">
        <is>
          <t>P1</t>
        </is>
      </c>
      <c r="C7" s="12" t="inlineStr">
        <is>
          <t>No caller check on prismMultipleRowInsert.js (it also lists ROLE_PAGE_ACCESS)</t>
        </is>
      </c>
      <c r="D7" s="12" t="inlineStr">
        <is>
          <t>prismMultipleRowInsert.js</t>
        </is>
      </c>
      <c r="E7" s="12" t="inlineStr">
        <is>
          <t>Anonymous inserts; non-admin can insert page-access rows (the admin gate exists only in prismMultipleinsert.js)</t>
        </is>
      </c>
      <c r="F7" s="12" t="inlineStr">
        <is>
          <t>Open</t>
        </is>
      </c>
    </row>
    <row r="8">
      <c r="A8" s="12" t="n">
        <v>4</v>
      </c>
      <c r="B8" s="12" t="inlineStr">
        <is>
          <t>P1</t>
        </is>
      </c>
      <c r="C8" s="12" t="inlineStr">
        <is>
          <t>Password reset of any account with no auth</t>
        </is>
      </c>
      <c r="D8" s="12" t="inlineStr">
        <is>
          <t>prismUpdateCognitoUser.js (TODO in code)</t>
        </is>
      </c>
      <c r="E8" s="12" t="inlineStr">
        <is>
          <t>Account takeover: anyone can set any user's Cognito password</t>
        </is>
      </c>
      <c r="F8" s="12" t="inlineStr">
        <is>
          <t>Open</t>
        </is>
      </c>
    </row>
    <row r="9">
      <c r="A9" s="12" t="n">
        <v>5</v>
      </c>
      <c r="B9" s="12" t="inlineStr">
        <is>
          <t>P1</t>
        </is>
      </c>
      <c r="C9" s="12" t="inlineStr">
        <is>
          <t>DB password update with no ownership check</t>
        </is>
      </c>
      <c r="D9" s="12" t="inlineStr">
        <is>
          <t>prismUserPasswordUpdate.js (TODO in code)</t>
        </is>
      </c>
      <c r="E9" s="12" t="inlineStr">
        <is>
          <t>Any user can change any user's DB password by ID</t>
        </is>
      </c>
      <c r="F9" s="12" t="inlineStr">
        <is>
          <t>Open</t>
        </is>
      </c>
    </row>
    <row r="10">
      <c r="A10" s="12" t="n">
        <v>6</v>
      </c>
      <c r="B10" s="12" t="inlineStr">
        <is>
          <t>P1</t>
        </is>
      </c>
      <c r="C10" s="12" t="inlineStr">
        <is>
          <t>User creation with no admin check</t>
        </is>
      </c>
      <c r="D10" s="12" t="inlineStr">
        <is>
          <t>prismCreateCognitoUser.js, prismCreateUser.js (TODO in code)</t>
        </is>
      </c>
      <c r="E10" s="12" t="inlineStr">
        <is>
          <t>Anyone can create login-capable accounts with any role_id (including Admin = 7)</t>
        </is>
      </c>
      <c r="F10" s="12" t="inlineStr">
        <is>
          <t>Open</t>
        </is>
      </c>
    </row>
    <row r="11">
      <c r="A11" s="12" t="n">
        <v>7</v>
      </c>
      <c r="B11" s="12" t="inlineStr">
        <is>
          <t>P1</t>
        </is>
      </c>
      <c r="C11" s="12" t="inlineStr">
        <is>
          <t>Attachment delete with no auth/ownership</t>
        </is>
      </c>
      <c r="D11" s="12" t="inlineStr">
        <is>
          <t>prismdeleteAttachment.js (TODO in code)</t>
        </is>
      </c>
      <c r="E11" s="12" t="inlineStr">
        <is>
          <t>Delete any attachment + S3 object by enumerating ids</t>
        </is>
      </c>
      <c r="F11" s="12" t="inlineStr">
        <is>
          <t>Open</t>
        </is>
      </c>
    </row>
    <row r="12">
      <c r="A12" s="12" t="n">
        <v>8</v>
      </c>
      <c r="B12" s="12" t="inlineStr">
        <is>
          <t>P1</t>
        </is>
      </c>
      <c r="C12" s="12" t="inlineStr">
        <is>
          <t>Lockout reset is unauthenticated</t>
        </is>
      </c>
      <c r="D12" s="12" t="inlineStr">
        <is>
          <t>loginSuccessReset.js</t>
        </is>
      </c>
      <c r="E12" s="12" t="inlineStr">
        <is>
          <t>Anyone can clear the failed-attempt counter for any user, so lockout is ineffective</t>
        </is>
      </c>
      <c r="F12" s="12" t="inlineStr">
        <is>
          <t>Open</t>
        </is>
      </c>
    </row>
    <row r="13">
      <c r="A13" s="12" t="n">
        <v>9</v>
      </c>
      <c r="B13" s="12" t="inlineStr">
        <is>
          <t>P1</t>
        </is>
      </c>
      <c r="C13" s="12" t="inlineStr">
        <is>
          <t>Stored XSS</t>
        </is>
      </c>
      <c r="D13" s="12" t="inlineStr">
        <is>
          <t>calllist-dialog.service.ts builds HTML with unescaped action_note, action_type, action_result, then bypassSecurityTrustHtml</t>
        </is>
      </c>
      <c r="E13" s="12" t="inlineStr">
        <is>
          <t>A note typed in Add Action runs script for anyone viewing call history</t>
        </is>
      </c>
      <c r="F13" s="12" t="inlineStr">
        <is>
          <t>Open</t>
        </is>
      </c>
    </row>
    <row r="14">
      <c r="A14" s="12" t="n">
        <v>10</v>
      </c>
      <c r="B14" s="12" t="inlineStr">
        <is>
          <t>P1</t>
        </is>
      </c>
      <c r="C14" s="12" t="inlineStr">
        <is>
          <t>Cognito client secret shipped in the browser bundle</t>
        </is>
      </c>
      <c r="D14" s="12" t="inlineStr">
        <is>
          <t>environments/environment.ts -&gt; auth.service.ts calculateSecretHash</t>
        </is>
      </c>
      <c r="E14" s="12" t="inlineStr">
        <is>
          <t>Secret is public; app client should be a public client (no secret)</t>
        </is>
      </c>
      <c r="F14" s="12" t="inlineStr">
        <is>
          <t>Open</t>
        </is>
      </c>
    </row>
    <row r="15">
      <c r="A15" s="12" t="n">
        <v>11</v>
      </c>
      <c r="B15" s="12" t="inlineStr">
        <is>
          <t>P1</t>
        </is>
      </c>
      <c r="C15" s="12" t="inlineStr">
        <is>
          <t>No route guards; role/page access is client-only</t>
        </is>
      </c>
      <c r="D15" s="12" t="inlineStr">
        <is>
          <t>app.routes.ts (0 canActivate), header.service.ts</t>
        </is>
      </c>
      <c r="E15" s="12" t="inlineStr">
        <is>
          <t>Page access is checked after the component loads, from localStorage (user-editable). The real protection is only the per-Lambda checks, and items 1–7 lack them</t>
        </is>
      </c>
      <c r="F15" s="12" t="inlineStr">
        <is>
          <t>Open</t>
        </is>
      </c>
    </row>
    <row r="16">
      <c r="A16" s="12" t="n">
        <v>12</v>
      </c>
      <c r="B16" s="12" t="inlineStr">
        <is>
          <t>P1</t>
        </is>
      </c>
      <c r="C16" s="12" t="inlineStr">
        <is>
          <t>Expired password not enforced</t>
        </is>
      </c>
      <c r="D16" s="12" t="inlineStr">
        <is>
          <t>login.ts stores user + Cognito tokens before the expiry check; prismAuthentication.js still returns 200</t>
        </is>
      </c>
      <c r="E16" s="12" t="inlineStr">
        <is>
          <t>User with an expired password can browse straight to /dashboard</t>
        </is>
      </c>
      <c r="F16" s="12" t="inlineStr">
        <is>
          <t>Open</t>
        </is>
      </c>
    </row>
    <row r="17">
      <c r="A17" s="12" t="n">
        <v>13</v>
      </c>
      <c r="B17" s="12" t="inlineStr">
        <is>
          <t>P1</t>
        </is>
      </c>
      <c r="C17" s="12" t="inlineStr">
        <is>
          <t>prismUpdatePlanyearForRiskgap.js has no auth or member ownership check</t>
        </is>
      </c>
      <c r="D17" s="12" t="inlineStr">
        <is>
          <t>Lambda</t>
        </is>
      </c>
      <c r="E17" s="12" t="inlineStr">
        <is>
          <t>Any caller can change PLAN_YEAR on any member's risk gaps</t>
        </is>
      </c>
      <c r="F17" s="12" t="inlineStr">
        <is>
          <t>Open</t>
        </is>
      </c>
    </row>
    <row r="18">
      <c r="A18" s="12" t="n">
        <v>14</v>
      </c>
      <c r="B18" s="12" t="inlineStr">
        <is>
          <t>P1</t>
        </is>
      </c>
      <c r="C18" s="12" t="inlineStr">
        <is>
          <t>Audit fields trusted from client</t>
        </is>
      </c>
      <c r="D18" s="12" t="inlineStr">
        <is>
          <t>All inserts (added_by, add_by, log_by, refer_by, ADDED_BY)</t>
        </is>
      </c>
      <c r="E18" s="12" t="inlineStr">
        <is>
          <t>MEM_SYSTEM_LOG and ownership columns can be spoofed; should be set from caller sub server-side</t>
        </is>
      </c>
      <c r="F18" s="12" t="inlineStr">
        <is>
          <t>Open</t>
        </is>
      </c>
    </row>
  </sheetData>
  <dataValidations count="1">
    <dataValidation sqref="F5:F18" showDropDown="0" showInputMessage="0" showErrorMessage="0" allowBlank="1" type="list">
      <formula1>"Open,In progress,Fixed"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50" customWidth="1" min="2" max="2"/>
    <col width="11" customWidth="1" min="3" max="3"/>
    <col width="70" customWidth="1" min="4" max="4"/>
  </cols>
  <sheetData>
    <row r="1">
      <c r="A1" s="10" t="inlineStr">
        <is>
          <t>Client-Side Validation - Page by Page</t>
        </is>
      </c>
    </row>
    <row r="2">
      <c r="A2" s="2" t="inlineStr">
        <is>
          <t>Source: docs/VALIDATION_AUDIT.md | audit date 2026-10-03 | branch dev | static code review</t>
        </is>
      </c>
    </row>
    <row r="4">
      <c r="A4" s="11" t="inlineStr">
        <is>
          <t>Page / Dialog</t>
        </is>
      </c>
      <c r="B4" s="11" t="inlineStr">
        <is>
          <t>Field / Rule</t>
        </is>
      </c>
      <c r="C4" s="11" t="inlineStr">
        <is>
          <t>Status</t>
        </is>
      </c>
      <c r="D4" s="11" t="inlineStr">
        <is>
          <t>Notes / What is missing</t>
        </is>
      </c>
    </row>
    <row r="5">
      <c r="A5" s="12" t="inlineStr">
        <is>
          <t>Login (/login)</t>
        </is>
      </c>
      <c r="B5" s="12" t="inlineStr">
        <is>
          <t>Username, password required</t>
        </is>
      </c>
      <c r="C5" s="13" t="inlineStr">
        <is>
          <t>Done</t>
        </is>
      </c>
      <c r="D5" s="12" t="inlineStr">
        <is>
          <t>HTML required</t>
        </is>
      </c>
    </row>
    <row r="6">
      <c r="A6" s="12" t="inlineStr">
        <is>
          <t>Login (/login)</t>
        </is>
      </c>
      <c r="B6" s="12" t="inlineStr">
        <is>
          <t>OTP 6 digits</t>
        </is>
      </c>
      <c r="C6" s="13" t="inlineStr">
        <is>
          <t>Done</t>
        </is>
      </c>
      <c r="D6" s="12" t="inlineStr">
        <is>
          <t>maxlength=6, pattern=[0-9]*, auto-submit at 6</t>
        </is>
      </c>
    </row>
    <row r="7">
      <c r="A7" s="12" t="inlineStr">
        <is>
          <t>Login (/login)</t>
        </is>
      </c>
      <c r="B7" s="12" t="inlineStr">
        <is>
          <t>MFA (TOTP setup + verify)</t>
        </is>
      </c>
      <c r="C7" s="13" t="inlineStr">
        <is>
          <t>Done</t>
        </is>
      </c>
      <c r="D7" s="12" t="inlineStr">
        <is>
          <t>Via Cognito</t>
        </is>
      </c>
    </row>
    <row r="8">
      <c r="A8" s="12" t="inlineStr">
        <is>
          <t>Login (/login)</t>
        </is>
      </c>
      <c r="B8" s="12" t="inlineStr">
        <is>
          <t>Failed-attempt counter + lock message</t>
        </is>
      </c>
      <c r="C8" s="13" t="inlineStr">
        <is>
          <t>Partial</t>
        </is>
      </c>
      <c r="D8" s="12" t="inlineStr">
        <is>
          <t>Driven by the client (loginFailedIncrement -&gt; prismLockedCognitoUser). Skipped if the API is called directly. prismLockedCognitoUser now requires Admin, so a non-logged-in user's call will get 401/403. Verify that lockout still disables the Cognito user.</t>
        </is>
      </c>
    </row>
    <row r="9">
      <c r="A9" s="12" t="inlineStr">
        <is>
          <t>Login (/login)</t>
        </is>
      </c>
      <c r="B9" s="12" t="inlineStr">
        <is>
          <t>Username email-format / trim</t>
        </is>
      </c>
      <c r="C9" s="13" t="inlineStr">
        <is>
          <t>Missing</t>
        </is>
      </c>
      <c r="D9" s="12" t="inlineStr">
        <is>
          <t>Add Validators.email + trim</t>
        </is>
      </c>
    </row>
    <row r="10">
      <c r="A10" s="12" t="inlineStr">
        <is>
          <t>Login (/login)</t>
        </is>
      </c>
      <c r="B10" s="12" t="inlineStr">
        <is>
          <t>Expired password blocks login</t>
        </is>
      </c>
      <c r="C10" s="13" t="inlineStr">
        <is>
          <t>Missing</t>
        </is>
      </c>
      <c r="D10" s="12" t="inlineStr">
        <is>
          <t>See P1 #12. Do not call setUser (or keep tokens) until the expiry check passes</t>
        </is>
      </c>
    </row>
    <row r="11">
      <c r="A11" s="12" t="inlineStr">
        <is>
          <t>Change Password (/change-password)</t>
        </is>
      </c>
      <c r="B11" s="12" t="inlineStr">
        <is>
          <t>New = Confirm</t>
        </is>
      </c>
      <c r="C11" s="13" t="inlineStr">
        <is>
          <t>Done</t>
        </is>
      </c>
      <c r="D11" s="12" t="inlineStr"/>
    </row>
    <row r="12">
      <c r="A12" s="12" t="inlineStr">
        <is>
          <t>Change Password (/change-password)</t>
        </is>
      </c>
      <c r="B12" s="12" t="inlineStr">
        <is>
          <t>&gt;=15 chars, upper, lower, digit, special</t>
        </is>
      </c>
      <c r="C12" s="13" t="inlineStr">
        <is>
          <t>Done</t>
        </is>
      </c>
      <c r="D12" s="12" t="inlineStr">
        <is>
          <t>In validatePasswordPolicy</t>
        </is>
      </c>
    </row>
    <row r="13">
      <c r="A13" s="12" t="inlineStr">
        <is>
          <t>Change Password (/change-password)</t>
        </is>
      </c>
      <c r="B13" s="12" t="inlineStr">
        <is>
          <t>HTML minlength="8"</t>
        </is>
      </c>
      <c r="C13" s="13" t="inlineStr">
        <is>
          <t>Partial</t>
        </is>
      </c>
      <c r="D13" s="12" t="inlineStr">
        <is>
          <t>Conflicts with the 15-char policy; change it to 15</t>
        </is>
      </c>
    </row>
    <row r="14">
      <c r="A14" s="12" t="inlineStr">
        <is>
          <t>Change Password (/change-password)</t>
        </is>
      </c>
      <c r="B14" s="12" t="inlineStr">
        <is>
          <t>Special-char set</t>
        </is>
      </c>
      <c r="C14" s="13" t="inlineStr">
        <is>
          <t>Partial</t>
        </is>
      </c>
      <c r="D14" s="12" t="inlineStr">
        <is>
          <t>Client allows only !@#$%^&amp;*; server accepts any non-alphanumeric character. Align them</t>
        </is>
      </c>
    </row>
    <row r="15">
      <c r="A15" s="12" t="inlineStr">
        <is>
          <t>Change Password (/change-password)</t>
        </is>
      </c>
      <c r="B15" s="12" t="inlineStr">
        <is>
          <t>Current password required</t>
        </is>
      </c>
      <c r="C15" s="13" t="inlineStr">
        <is>
          <t>Missing</t>
        </is>
      </c>
      <c r="D15" s="12" t="inlineStr"/>
    </row>
    <row r="16">
      <c r="A16" s="12" t="inlineStr">
        <is>
          <t>Change Password (/change-password)</t>
        </is>
      </c>
      <c r="B16" s="12" t="inlineStr">
        <is>
          <t>New != old / password history</t>
        </is>
      </c>
      <c r="C16" s="13" t="inlineStr">
        <is>
          <t>Missing</t>
        </is>
      </c>
      <c r="D16" s="12" t="inlineStr"/>
    </row>
    <row r="17">
      <c r="A17" s="12" t="inlineStr">
        <is>
          <t>Change Password (/change-password)</t>
        </is>
      </c>
      <c r="B17" s="12" t="inlineStr">
        <is>
          <t>Password must not contain name/email</t>
        </is>
      </c>
      <c r="C17" s="13" t="inlineStr">
        <is>
          <t>Missing</t>
        </is>
      </c>
      <c r="D17" s="12" t="inlineStr"/>
    </row>
    <row r="18">
      <c r="A18" s="12" t="inlineStr">
        <is>
          <t>Manage Users – Add/Edit User dialog</t>
        </is>
      </c>
      <c r="B18" s="12" t="inlineStr">
        <is>
          <t>First / Last name required</t>
        </is>
      </c>
      <c r="C18" s="13" t="inlineStr">
        <is>
          <t>Done</t>
        </is>
      </c>
      <c r="D18" s="12" t="inlineStr">
        <is>
          <t>Trimmed on submit</t>
        </is>
      </c>
    </row>
    <row r="19">
      <c r="A19" s="12" t="inlineStr">
        <is>
          <t>Manage Users – Add/Edit User dialog</t>
        </is>
      </c>
      <c r="B19" s="12" t="inlineStr">
        <is>
          <t>Role, Department, Status required</t>
        </is>
      </c>
      <c r="C19" s="13" t="inlineStr">
        <is>
          <t>Done</t>
        </is>
      </c>
      <c r="D19" s="12" t="inlineStr"/>
    </row>
    <row r="20">
      <c r="A20" s="12" t="inlineStr">
        <is>
          <t>Manage Users – Add/Edit User dialog</t>
        </is>
      </c>
      <c r="B20" s="12" t="inlineStr">
        <is>
          <t>Email required + format</t>
        </is>
      </c>
      <c r="C20" s="13" t="inlineStr">
        <is>
          <t>Partial</t>
        </is>
      </c>
      <c r="D20" s="12" t="inlineStr">
        <is>
          <t>Validators.email accepts a@b; server requires a dot. Use the same regex</t>
        </is>
      </c>
    </row>
    <row r="21">
      <c r="A21" s="12" t="inlineStr">
        <is>
          <t>Manage Users – Add/Edit User dialog</t>
        </is>
      </c>
      <c r="B21" s="12" t="inlineStr">
        <is>
          <t>Email duplicate check</t>
        </is>
      </c>
      <c r="C21" s="13" t="inlineStr">
        <is>
          <t>Done</t>
        </is>
      </c>
      <c r="D21" s="12" t="inlineStr">
        <is>
          <t>checkuserexist (server also returns 409 on unique violation)</t>
        </is>
      </c>
    </row>
    <row r="22">
      <c r="A22" s="12" t="inlineStr">
        <is>
          <t>Manage Users – Add/Edit User dialog</t>
        </is>
      </c>
      <c r="B22" s="12" t="inlineStr">
        <is>
          <t>Password</t>
        </is>
      </c>
      <c r="C22" s="13" t="inlineStr">
        <is>
          <t>Partial</t>
        </is>
      </c>
      <c r="D22" s="12" t="inlineStr">
        <is>
          <t>Only minLength(6), but the hint and server require 15 + complexity. Add the same policy validator</t>
        </is>
      </c>
    </row>
    <row r="23">
      <c r="A23" s="12" t="inlineStr">
        <is>
          <t>Manage Users – Add/Edit User dialog</t>
        </is>
      </c>
      <c r="B23" s="12" t="inlineStr">
        <is>
          <t>Confirm password</t>
        </is>
      </c>
      <c r="C23" s="13" t="inlineStr">
        <is>
          <t>Missing</t>
        </is>
      </c>
      <c r="D23" s="12" t="inlineStr"/>
    </row>
    <row r="24">
      <c r="A24" s="12" t="inlineStr">
        <is>
          <t>Manage Users – Add/Edit User dialog</t>
        </is>
      </c>
      <c r="B24" s="12" t="inlineStr">
        <is>
          <t>Name max length (100) / email (150)</t>
        </is>
      </c>
      <c r="C24" s="13" t="inlineStr">
        <is>
          <t>Missing</t>
        </is>
      </c>
      <c r="D24" s="12" t="inlineStr">
        <is>
          <t>Server enforces it; client should too</t>
        </is>
      </c>
    </row>
    <row r="25">
      <c r="A25" s="12" t="inlineStr">
        <is>
          <t>Manage Users – Add/Edit User dialog</t>
        </is>
      </c>
      <c r="B25" s="12" t="inlineStr">
        <is>
          <t>Name pattern (letters, space, -, ')</t>
        </is>
      </c>
      <c r="C25" s="13" t="inlineStr">
        <is>
          <t>Missing</t>
        </is>
      </c>
      <c r="D25" s="12" t="inlineStr"/>
    </row>
    <row r="26">
      <c r="A26" s="12" t="inlineStr">
        <is>
          <t>Manage Users – Add/Edit User dialog</t>
        </is>
      </c>
      <c r="B26" s="12" t="inlineStr">
        <is>
          <t>Whitespace-only names</t>
        </is>
      </c>
      <c r="C26" s="13" t="inlineStr">
        <is>
          <t>Partial</t>
        </is>
      </c>
      <c r="D26" s="12" t="inlineStr">
        <is>
          <t>Pass required; rejected by server after trim</t>
        </is>
      </c>
    </row>
    <row r="27">
      <c r="A27" s="12" t="inlineStr">
        <is>
          <t>Manage Users – Add/Edit User dialog</t>
        </is>
      </c>
      <c r="B27" s="12" t="inlineStr">
        <is>
          <t>Admin cannot deactivate self or remove own Admin role</t>
        </is>
      </c>
      <c r="C27" s="13" t="inlineStr">
        <is>
          <t>Missing</t>
        </is>
      </c>
      <c r="D27" s="12" t="inlineStr"/>
    </row>
    <row r="28">
      <c r="A28" s="12" t="inlineStr">
        <is>
          <t>New User Account Request dialog</t>
        </is>
      </c>
      <c r="B28" s="12" t="inlineStr">
        <is>
          <t>First, last, email, phone, role, date, status required</t>
        </is>
      </c>
      <c r="C28" s="13" t="inlineStr">
        <is>
          <t>Done</t>
        </is>
      </c>
      <c r="D28" s="12" t="inlineStr"/>
    </row>
    <row r="29">
      <c r="A29" s="12" t="inlineStr">
        <is>
          <t>New User Account Request dialog</t>
        </is>
      </c>
      <c r="B29" s="12" t="inlineStr">
        <is>
          <t>Email format</t>
        </is>
      </c>
      <c r="C29" s="13" t="inlineStr">
        <is>
          <t>Done</t>
        </is>
      </c>
      <c r="D29" s="12" t="inlineStr">
        <is>
          <t>Same a@b weakness</t>
        </is>
      </c>
    </row>
    <row r="30">
      <c r="A30" s="12" t="inlineStr">
        <is>
          <t>New User Account Request dialog</t>
        </is>
      </c>
      <c r="B30" s="12" t="inlineStr">
        <is>
          <t>Phone auto-format (xxx) xxx-xxxx, maxlength 14</t>
        </is>
      </c>
      <c r="C30" s="13" t="inlineStr">
        <is>
          <t>Done</t>
        </is>
      </c>
      <c r="D30" s="12" t="inlineStr"/>
    </row>
    <row r="31">
      <c r="A31" s="12" t="inlineStr">
        <is>
          <t>New User Account Request dialog</t>
        </is>
      </c>
      <c r="B31" s="12" t="inlineStr">
        <is>
          <t>Phone exactly 10 digits</t>
        </is>
      </c>
      <c r="C31" s="13" t="inlineStr">
        <is>
          <t>Missing</t>
        </is>
      </c>
      <c r="D31" s="12" t="inlineStr">
        <is>
          <t>(12 passes required</t>
        </is>
      </c>
    </row>
    <row r="32">
      <c r="A32" s="12" t="inlineStr">
        <is>
          <t>New User Account Request dialog</t>
        </is>
      </c>
      <c r="B32" s="12" t="inlineStr">
        <is>
          <t>Duplicate email (existing user / pending request)</t>
        </is>
      </c>
      <c r="C32" s="13" t="inlineStr">
        <is>
          <t>Missing</t>
        </is>
      </c>
      <c r="D32" s="12" t="inlineStr"/>
    </row>
    <row r="33">
      <c r="A33" s="12" t="inlineStr">
        <is>
          <t>New User Account Request dialog</t>
        </is>
      </c>
      <c r="B33" s="12" t="inlineStr">
        <is>
          <t>Request date not in future</t>
        </is>
      </c>
      <c r="C33" s="13" t="inlineStr">
        <is>
          <t>Missing</t>
        </is>
      </c>
      <c r="D33" s="12" t="inlineStr"/>
    </row>
    <row r="34">
      <c r="A34" s="12" t="inlineStr">
        <is>
          <t>New User Account Request dialog</t>
        </is>
      </c>
      <c r="B34" s="12" t="inlineStr">
        <is>
          <t>Status should not be selectable on create</t>
        </is>
      </c>
      <c r="C34" s="13" t="inlineStr">
        <is>
          <t>Missing</t>
        </is>
      </c>
      <c r="D34" s="12" t="inlineStr"/>
    </row>
    <row r="35">
      <c r="A35" s="12" t="inlineStr">
        <is>
          <t>New User Account Request dialog</t>
        </is>
      </c>
      <c r="B35" s="12" t="inlineStr">
        <is>
          <t>Names length / pattern / trim</t>
        </is>
      </c>
      <c r="C35" s="13" t="inlineStr">
        <is>
          <t>Missing</t>
        </is>
      </c>
      <c r="D35" s="12" t="inlineStr"/>
    </row>
    <row r="36">
      <c r="A36" s="12" t="inlineStr">
        <is>
          <t>New User Account Request dialog</t>
        </is>
      </c>
      <c r="B36" s="12" t="inlineStr">
        <is>
          <t>Error shown to user</t>
        </is>
      </c>
      <c r="C36" s="13" t="inlineStr">
        <is>
          <t>Missing</t>
        </is>
      </c>
      <c r="D36" s="12" t="inlineStr">
        <is>
          <t>handleError only logs to the console</t>
        </is>
      </c>
    </row>
    <row r="37">
      <c r="A37" s="12" t="inlineStr">
        <is>
          <t>Alternate Address dialog</t>
        </is>
      </c>
      <c r="B37" s="12" t="inlineStr">
        <is>
          <t>Address, city, state, zip required</t>
        </is>
      </c>
      <c r="C37" s="13" t="inlineStr">
        <is>
          <t>Done</t>
        </is>
      </c>
      <c r="D37" s="12" t="inlineStr"/>
    </row>
    <row r="38">
      <c r="A38" s="12" t="inlineStr">
        <is>
          <t>Alternate Address dialog</t>
        </is>
      </c>
      <c r="B38" s="12" t="inlineStr">
        <is>
          <t>Zip auto-format, maxlength 10</t>
        </is>
      </c>
      <c r="C38" s="13" t="inlineStr">
        <is>
          <t>Done</t>
        </is>
      </c>
      <c r="D38" s="12" t="inlineStr"/>
    </row>
    <row r="39">
      <c r="A39" s="12" t="inlineStr">
        <is>
          <t>Alternate Address dialog</t>
        </is>
      </c>
      <c r="B39" s="12" t="inlineStr">
        <is>
          <t>Zip exactly 5 or 9 digits</t>
        </is>
      </c>
      <c r="C39" s="13" t="inlineStr">
        <is>
          <t>Missing</t>
        </is>
      </c>
      <c r="D39" s="12" t="inlineStr">
        <is>
          <t>123 passes</t>
        </is>
      </c>
    </row>
    <row r="40">
      <c r="A40" s="12" t="inlineStr">
        <is>
          <t>Alternate Address dialog</t>
        </is>
      </c>
      <c r="B40" s="12" t="inlineStr">
        <is>
          <t>State = valid 2-letter code (dropdown)</t>
        </is>
      </c>
      <c r="C40" s="13" t="inlineStr">
        <is>
          <t>Missing</t>
        </is>
      </c>
      <c r="D40" s="12" t="inlineStr">
        <is>
          <t>Free text</t>
        </is>
      </c>
    </row>
    <row r="41">
      <c r="A41" s="12" t="inlineStr">
        <is>
          <t>Alternate Address dialog</t>
        </is>
      </c>
      <c r="B41" s="12" t="inlineStr">
        <is>
          <t>Length limits, trim, whitespace-only</t>
        </is>
      </c>
      <c r="C41" s="13" t="inlineStr">
        <is>
          <t>Missing</t>
        </is>
      </c>
      <c r="D41" s="12" t="inlineStr"/>
    </row>
    <row r="42">
      <c r="A42" s="12" t="inlineStr">
        <is>
          <t>Alternate Address dialog</t>
        </is>
      </c>
      <c r="B42" s="12" t="inlineStr">
        <is>
          <t>Duplicate address check</t>
        </is>
      </c>
      <c r="C42" s="13" t="inlineStr">
        <is>
          <t>Missing</t>
        </is>
      </c>
      <c r="D42" s="12" t="inlineStr"/>
    </row>
    <row r="43">
      <c r="A43" s="12" t="inlineStr">
        <is>
          <t>Alternate Address dialog</t>
        </is>
      </c>
      <c r="B43" s="12" t="inlineStr">
        <is>
          <t>Failure message to user</t>
        </is>
      </c>
      <c r="C43" s="13" t="inlineStr">
        <is>
          <t>Missing</t>
        </is>
      </c>
      <c r="D43" s="12" t="inlineStr">
        <is>
          <t>Console only</t>
        </is>
      </c>
    </row>
    <row r="44">
      <c r="A44" s="12" t="inlineStr">
        <is>
          <t>Alternate Phone dialog</t>
        </is>
      </c>
      <c r="B44" s="12" t="inlineStr">
        <is>
          <t>Required, auto-format, maxlength 14</t>
        </is>
      </c>
      <c r="C44" s="13" t="inlineStr">
        <is>
          <t>Done</t>
        </is>
      </c>
      <c r="D44" s="12" t="inlineStr"/>
    </row>
    <row r="45">
      <c r="A45" s="12" t="inlineStr">
        <is>
          <t>Alternate Phone dialog</t>
        </is>
      </c>
      <c r="B45" s="12" t="inlineStr">
        <is>
          <t>Exactly 10 digits</t>
        </is>
      </c>
      <c r="C45" s="13" t="inlineStr">
        <is>
          <t>Missing</t>
        </is>
      </c>
      <c r="D45" s="12" t="inlineStr"/>
    </row>
    <row r="46">
      <c r="A46" s="12" t="inlineStr">
        <is>
          <t>Alternate Phone dialog</t>
        </is>
      </c>
      <c r="B46" s="12" t="inlineStr">
        <is>
          <t>Not duplicate of primary/other alt phone</t>
        </is>
      </c>
      <c r="C46" s="13" t="inlineStr">
        <is>
          <t>Missing</t>
        </is>
      </c>
      <c r="D46" s="12" t="inlineStr"/>
    </row>
    <row r="47">
      <c r="A47" s="12" t="inlineStr">
        <is>
          <t>Alternate Phone dialog</t>
        </is>
      </c>
      <c r="B47" s="12" t="inlineStr">
        <is>
          <t>Failure message to user</t>
        </is>
      </c>
      <c r="C47" s="13" t="inlineStr">
        <is>
          <t>Missing</t>
        </is>
      </c>
      <c r="D47" s="12" t="inlineStr"/>
    </row>
    <row r="48">
      <c r="A48" s="12" t="inlineStr">
        <is>
          <t>Manage Plans – Plan dialog</t>
        </is>
      </c>
      <c r="B48" s="12" t="inlineStr">
        <is>
          <t>Name, start, end, status required</t>
        </is>
      </c>
      <c r="C48" s="13" t="inlineStr">
        <is>
          <t>Done</t>
        </is>
      </c>
      <c r="D48" s="12" t="inlineStr"/>
    </row>
    <row r="49">
      <c r="A49" s="12" t="inlineStr">
        <is>
          <t>Manage Plans – Plan dialog</t>
        </is>
      </c>
      <c r="B49" s="12" t="inlineStr">
        <is>
          <t>Start &lt;= End</t>
        </is>
      </c>
      <c r="C49" s="13" t="inlineStr">
        <is>
          <t>Done</t>
        </is>
      </c>
      <c r="D49" s="12" t="inlineStr">
        <is>
          <t>Via alert(), not a form validator</t>
        </is>
      </c>
    </row>
    <row r="50">
      <c r="A50" s="12" t="inlineStr">
        <is>
          <t>Manage Plans – Plan dialog</t>
        </is>
      </c>
      <c r="B50" s="12" t="inlineStr">
        <is>
          <t>Duplicate plan name</t>
        </is>
      </c>
      <c r="C50" s="13" t="inlineStr">
        <is>
          <t>Missing</t>
        </is>
      </c>
      <c r="D50" s="12" t="inlineStr"/>
    </row>
    <row r="51">
      <c r="A51" s="12" t="inlineStr">
        <is>
          <t>Manage Plans – Plan dialog</t>
        </is>
      </c>
      <c r="B51" s="12" t="inlineStr">
        <is>
          <t>Name length / trim</t>
        </is>
      </c>
      <c r="C51" s="13" t="inlineStr">
        <is>
          <t>Missing</t>
        </is>
      </c>
      <c r="D51" s="12" t="inlineStr"/>
    </row>
    <row r="52">
      <c r="A52" s="12" t="inlineStr">
        <is>
          <t>Assign Plan dialog</t>
        </is>
      </c>
      <c r="B52" s="12" t="inlineStr">
        <is>
          <t>Plan required</t>
        </is>
      </c>
      <c r="C52" s="13" t="inlineStr">
        <is>
          <t>Done</t>
        </is>
      </c>
      <c r="D52" s="12" t="inlineStr"/>
    </row>
    <row r="53">
      <c r="A53" s="12" t="inlineStr">
        <is>
          <t>Assign Plan dialog</t>
        </is>
      </c>
      <c r="B53" s="12" t="inlineStr">
        <is>
          <t>Already-assigned check</t>
        </is>
      </c>
      <c r="C53" s="13" t="inlineStr">
        <is>
          <t>Done</t>
        </is>
      </c>
      <c r="D53" s="12" t="inlineStr">
        <is>
          <t>checkplanexist per member (stops at first hit, but doesn't say which member)</t>
        </is>
      </c>
    </row>
    <row r="54">
      <c r="A54" s="12" t="inlineStr">
        <is>
          <t>Assign Plan dialog</t>
        </is>
      </c>
      <c r="B54" s="12" t="inlineStr">
        <is>
          <t>Only active / in-date plans selectable</t>
        </is>
      </c>
      <c r="C54" s="13" t="inlineStr">
        <is>
          <t>Missing</t>
        </is>
      </c>
      <c r="D54" s="12" t="inlineStr"/>
    </row>
    <row r="55">
      <c r="A55" s="12" t="inlineStr">
        <is>
          <t>File Attachment dialog (Plans / User requests)</t>
        </is>
      </c>
      <c r="B55" s="12" t="inlineStr">
        <is>
          <t>File required (new), status required</t>
        </is>
      </c>
      <c r="C55" s="13" t="inlineStr">
        <is>
          <t>Done</t>
        </is>
      </c>
      <c r="D55" s="12" t="inlineStr"/>
    </row>
    <row r="56">
      <c r="A56" s="12" t="inlineStr">
        <is>
          <t>File Attachment dialog (Plans / User requests)</t>
        </is>
      </c>
      <c r="B56" s="12" t="inlineStr">
        <is>
          <t>File type allow-list (accept + extension check)</t>
        </is>
      </c>
      <c r="C56" s="13" t="inlineStr">
        <is>
          <t>Missing</t>
        </is>
      </c>
      <c r="D56" s="12" t="inlineStr">
        <is>
          <t>Any file can be uploaded</t>
        </is>
      </c>
    </row>
    <row r="57">
      <c r="A57" s="12" t="inlineStr">
        <is>
          <t>File Attachment dialog (Plans / User requests)</t>
        </is>
      </c>
      <c r="B57" s="12" t="inlineStr">
        <is>
          <t>Max file size / empty file</t>
        </is>
      </c>
      <c r="C57" s="13" t="inlineStr">
        <is>
          <t>Missing</t>
        </is>
      </c>
      <c r="D57" s="12" t="inlineStr"/>
    </row>
    <row r="58">
      <c r="A58" s="12" t="inlineStr">
        <is>
          <t>File Attachment dialog (Plans / User requests)</t>
        </is>
      </c>
      <c r="B58" s="12" t="inlineStr">
        <is>
          <t>Delete confirm</t>
        </is>
      </c>
      <c r="C58" s="13" t="inlineStr">
        <is>
          <t>Partial</t>
        </is>
      </c>
      <c r="D58" s="12" t="inlineStr">
        <is>
          <t>Native confirm()</t>
        </is>
      </c>
    </row>
    <row r="59">
      <c r="A59" s="12" t="inlineStr">
        <is>
          <t>Task dialog</t>
        </is>
      </c>
      <c r="B59" s="12" t="inlineStr">
        <is>
          <t>Activity, date, assign-to, status required</t>
        </is>
      </c>
      <c r="C59" s="13" t="inlineStr">
        <is>
          <t>Done</t>
        </is>
      </c>
      <c r="D59" s="12" t="inlineStr"/>
    </row>
    <row r="60">
      <c r="A60" s="12" t="inlineStr">
        <is>
          <t>Task dialog</t>
        </is>
      </c>
      <c r="B60" s="12" t="inlineStr">
        <is>
          <t>Task date not in past (new task)</t>
        </is>
      </c>
      <c r="C60" s="13" t="inlineStr">
        <is>
          <t>Missing</t>
        </is>
      </c>
      <c r="D60" s="12" t="inlineStr"/>
    </row>
    <row r="61">
      <c r="A61" s="12" t="inlineStr">
        <is>
          <t>Task dialog</t>
        </is>
      </c>
      <c r="B61" s="12" t="inlineStr">
        <is>
          <t>Note max length</t>
        </is>
      </c>
      <c r="C61" s="13" t="inlineStr">
        <is>
          <t>Missing</t>
        </is>
      </c>
      <c r="D61" s="12" t="inlineStr"/>
    </row>
    <row r="62">
      <c r="A62" s="12" t="inlineStr">
        <is>
          <t>Transfer Member dialog</t>
        </is>
      </c>
      <c r="B62" s="12" t="inlineStr">
        <is>
          <t>Department, user required</t>
        </is>
      </c>
      <c r="C62" s="13" t="inlineStr">
        <is>
          <t>Done</t>
        </is>
      </c>
      <c r="D62" s="12" t="inlineStr"/>
    </row>
    <row r="63">
      <c r="A63" s="12" t="inlineStr">
        <is>
          <t>Transfer Member dialog</t>
        </is>
      </c>
      <c r="B63" s="12" t="inlineStr">
        <is>
          <t>Cannot transfer to current owner</t>
        </is>
      </c>
      <c r="C63" s="13" t="inlineStr">
        <is>
          <t>Missing</t>
        </is>
      </c>
      <c r="D63" s="12" t="inlineStr"/>
    </row>
    <row r="64">
      <c r="A64" s="12" t="inlineStr">
        <is>
          <t>Transfer Member dialog</t>
        </is>
      </c>
      <c r="B64" s="12" t="inlineStr">
        <is>
          <t>Reason required / length</t>
        </is>
      </c>
      <c r="C64" s="13" t="inlineStr">
        <is>
          <t>Missing</t>
        </is>
      </c>
      <c r="D64" s="12" t="inlineStr">
        <is>
          <t>Optional today</t>
        </is>
      </c>
    </row>
    <row r="65">
      <c r="A65" s="12" t="inlineStr">
        <is>
          <t>No-Longer-Patient confirm / Unlock-User confirm</t>
        </is>
      </c>
      <c r="B65" s="12" t="inlineStr">
        <is>
          <t>Note required, trimmed</t>
        </is>
      </c>
      <c r="C65" s="13" t="inlineStr">
        <is>
          <t>Done</t>
        </is>
      </c>
      <c r="D65" s="12" t="inlineStr"/>
    </row>
    <row r="66">
      <c r="A66" s="12" t="inlineStr">
        <is>
          <t>No-Longer-Patient confirm / Unlock-User confirm</t>
        </is>
      </c>
      <c r="B66" s="12" t="inlineStr">
        <is>
          <t>Whitespace-only blocked on client</t>
        </is>
      </c>
      <c r="C66" s="13" t="inlineStr">
        <is>
          <t>Partial</t>
        </is>
      </c>
      <c r="D66" s="12" t="inlineStr">
        <is>
          <t>Passes required; server rejects blank (no-longer-patient only)</t>
        </is>
      </c>
    </row>
    <row r="67">
      <c r="A67" s="12" t="inlineStr">
        <is>
          <t>No-Longer-Patient confirm / Unlock-User confirm</t>
        </is>
      </c>
      <c r="B67" s="12" t="inlineStr">
        <is>
          <t>Note max length</t>
        </is>
      </c>
      <c r="C67" s="13" t="inlineStr">
        <is>
          <t>Missing</t>
        </is>
      </c>
      <c r="D67" s="12" t="inlineStr"/>
    </row>
    <row r="68">
      <c r="A68" s="12" t="inlineStr">
        <is>
          <t>Rolewise Page Access dialog</t>
        </is>
      </c>
      <c r="B68" s="12" t="inlineStr">
        <is>
          <t>Role, page, status required</t>
        </is>
      </c>
      <c r="C68" s="13" t="inlineStr">
        <is>
          <t>Done</t>
        </is>
      </c>
      <c r="D68" s="12" t="inlineStr"/>
    </row>
    <row r="69">
      <c r="A69" s="12" t="inlineStr">
        <is>
          <t>Rolewise Page Access dialog</t>
        </is>
      </c>
      <c r="B69" s="12" t="inlineStr">
        <is>
          <t>Duplicate role + page combination</t>
        </is>
      </c>
      <c r="C69" s="13" t="inlineStr">
        <is>
          <t>Missing</t>
        </is>
      </c>
      <c r="D69" s="12" t="inlineStr"/>
    </row>
    <row r="70">
      <c r="A70" s="12" t="inlineStr">
        <is>
          <t>Rolewise Page Access dialog</t>
        </is>
      </c>
      <c r="B70" s="12" t="inlineStr">
        <is>
          <t>Prevent Admin removing own access to this page</t>
        </is>
      </c>
      <c r="C70" s="13" t="inlineStr">
        <is>
          <t>Missing</t>
        </is>
      </c>
      <c r="D70" s="12" t="inlineStr"/>
    </row>
    <row r="71">
      <c r="A71" s="12" t="inlineStr">
        <is>
          <t>Add Action (member action panel)</t>
        </is>
      </c>
      <c r="B71" s="12" t="inlineStr">
        <is>
          <t>Action date valid; keys limited to digits and /; maxlength 10</t>
        </is>
      </c>
      <c r="C71" s="13" t="inlineStr">
        <is>
          <t>Done</t>
        </is>
      </c>
      <c r="D71" s="12" t="inlineStr"/>
    </row>
    <row r="72">
      <c r="A72" s="12" t="inlineStr">
        <is>
          <t>Add Action (member action panel)</t>
        </is>
      </c>
      <c r="B72" s="12" t="inlineStr">
        <is>
          <t>Quality gap: TIN, Provider, DOS, RxProviderFlag, PCPFlag, SuppSource required</t>
        </is>
      </c>
      <c r="C72" s="13" t="inlineStr">
        <is>
          <t>Done</t>
        </is>
      </c>
      <c r="D72" s="12" t="inlineStr"/>
    </row>
    <row r="73">
      <c r="A73" s="12" t="inlineStr">
        <is>
          <t>Add Action (member action panel)</t>
        </is>
      </c>
      <c r="B73" s="12" t="inlineStr">
        <is>
          <t>Quality gap: at least one of CPT / HCPCS / ICD-10</t>
        </is>
      </c>
      <c r="C73" s="13" t="inlineStr">
        <is>
          <t>Done</t>
        </is>
      </c>
      <c r="D73" s="12" t="inlineStr"/>
    </row>
    <row r="74">
      <c r="A74" s="12" t="inlineStr">
        <is>
          <t>Add Action (member action panel)</t>
        </is>
      </c>
      <c r="B74" s="12" t="inlineStr">
        <is>
          <t>TIN/Provider conditional required</t>
        </is>
      </c>
      <c r="C74" s="13" t="inlineStr">
        <is>
          <t>Done</t>
        </is>
      </c>
      <c r="D74" s="12" t="inlineStr"/>
    </row>
    <row r="75">
      <c r="A75" s="12" t="inlineStr">
        <is>
          <t>Add Action (member action panel)</t>
        </is>
      </c>
      <c r="B75" s="12" t="inlineStr">
        <is>
          <t>LOINC answer reset when LOINC cleared</t>
        </is>
      </c>
      <c r="C75" s="13" t="inlineStr">
        <is>
          <t>Done</t>
        </is>
      </c>
      <c r="D75" s="12" t="inlineStr"/>
    </row>
    <row r="76">
      <c r="A76" s="12" t="inlineStr">
        <is>
          <t>Add Action (member action panel)</t>
        </is>
      </c>
      <c r="B76" s="12" t="inlineStr">
        <is>
          <t>Appointment: vendor, provider, date, time, status, place, type required</t>
        </is>
      </c>
      <c r="C76" s="13" t="inlineStr">
        <is>
          <t>Done</t>
        </is>
      </c>
      <c r="D76" s="12" t="inlineStr"/>
    </row>
    <row r="77">
      <c r="A77" s="12" t="inlineStr">
        <is>
          <t>Add Action (member action panel)</t>
        </is>
      </c>
      <c r="B77" s="12" t="inlineStr">
        <is>
          <t>PCP visit: date + type required, valid date</t>
        </is>
      </c>
      <c r="C77" s="13" t="inlineStr">
        <is>
          <t>Done</t>
        </is>
      </c>
      <c r="D77" s="12" t="inlineStr"/>
    </row>
    <row r="78">
      <c r="A78" s="12" t="inlineStr">
        <is>
          <t>Add Action (member action panel)</t>
        </is>
      </c>
      <c r="B78" s="12" t="inlineStr">
        <is>
          <t>Star measure: measure, date, count, TIN required + duplicate check</t>
        </is>
      </c>
      <c r="C78" s="13" t="inlineStr">
        <is>
          <t>Done</t>
        </is>
      </c>
      <c r="D78" s="12" t="inlineStr"/>
    </row>
    <row r="79">
      <c r="A79" s="12" t="inlineStr">
        <is>
          <t>Add Action (member action panel)</t>
        </is>
      </c>
      <c r="B79" s="12" t="inlineStr">
        <is>
          <t>Next activity date required when Next activity chosen</t>
        </is>
      </c>
      <c r="C79" s="13" t="inlineStr">
        <is>
          <t>Missing</t>
        </is>
      </c>
      <c r="D79" s="12" t="inlineStr">
        <is>
          <t>Otherwise action_date is null and the server returns 400</t>
        </is>
      </c>
    </row>
    <row r="80">
      <c r="A80" s="12" t="inlineStr">
        <is>
          <t>Add Action (member action panel)</t>
        </is>
      </c>
      <c r="B80" s="12" t="inlineStr">
        <is>
          <t>Action date / DOS / PCP visit date not in future</t>
        </is>
      </c>
      <c r="C80" s="13" t="inlineStr">
        <is>
          <t>Missing</t>
        </is>
      </c>
      <c r="D80" s="12" t="inlineStr"/>
    </row>
    <row r="81">
      <c r="A81" s="12" t="inlineStr">
        <is>
          <t>Add Action (member action panel)</t>
        </is>
      </c>
      <c r="B81" s="12" t="inlineStr">
        <is>
          <t>Next action date &gt;= today</t>
        </is>
      </c>
      <c r="C81" s="13" t="inlineStr">
        <is>
          <t>Missing</t>
        </is>
      </c>
      <c r="D81" s="12" t="inlineStr"/>
    </row>
    <row r="82">
      <c r="A82" s="12" t="inlineStr">
        <is>
          <t>Add Action (member action panel)</t>
        </is>
      </c>
      <c r="B82" s="12" t="inlineStr">
        <is>
          <t>Appointment date not in past</t>
        </is>
      </c>
      <c r="C82" s="13" t="inlineStr">
        <is>
          <t>Missing</t>
        </is>
      </c>
      <c r="D82" s="12" t="inlineStr"/>
    </row>
    <row r="83">
      <c r="A83" s="12" t="inlineStr">
        <is>
          <t>Add Action (member action panel)</t>
        </is>
      </c>
      <c r="B83" s="12" t="inlineStr">
        <is>
          <t>NPI = 10 digits (+ Luhn check)</t>
        </is>
      </c>
      <c r="C83" s="13" t="inlineStr">
        <is>
          <t>Missing</t>
        </is>
      </c>
      <c r="D83" s="12" t="inlineStr"/>
    </row>
    <row r="84">
      <c r="A84" s="12" t="inlineStr">
        <is>
          <t>Add Action (member action panel)</t>
        </is>
      </c>
      <c r="B84" s="12" t="inlineStr">
        <is>
          <t>Taxonomy code format (10 chars)</t>
        </is>
      </c>
      <c r="C84" s="13" t="inlineStr">
        <is>
          <t>Missing</t>
        </is>
      </c>
      <c r="D84" s="12" t="inlineStr"/>
    </row>
    <row r="85">
      <c r="A85" s="12" t="inlineStr">
        <is>
          <t>Add Action (member action panel)</t>
        </is>
      </c>
      <c r="B85" s="12" t="inlineStr">
        <is>
          <t>ICD-10 / CPT / HCPCS format</t>
        </is>
      </c>
      <c r="C85" s="13" t="inlineStr">
        <is>
          <t>Missing</t>
        </is>
      </c>
      <c r="D85" s="12" t="inlineStr"/>
    </row>
    <row r="86">
      <c r="A86" s="12" t="inlineStr">
        <is>
          <t>Add Action (member action panel)</t>
        </is>
      </c>
      <c r="B86" s="12" t="inlineStr">
        <is>
          <t>Risk-gap rows: any required fields</t>
        </is>
      </c>
      <c r="C86" s="13" t="inlineStr">
        <is>
          <t>Missing</t>
        </is>
      </c>
      <c r="D86" s="12" t="inlineStr">
        <is>
          <t>Only quality gaps are validated</t>
        </is>
      </c>
    </row>
    <row r="87">
      <c r="A87" s="12" t="inlineStr">
        <is>
          <t>Add Action (member action panel)</t>
        </is>
      </c>
      <c r="B87" s="12" t="inlineStr">
        <is>
          <t>Note fields max length</t>
        </is>
      </c>
      <c r="C87" s="13" t="inlineStr">
        <is>
          <t>Missing</t>
        </is>
      </c>
      <c r="D87" s="12" t="inlineStr"/>
    </row>
    <row r="88">
      <c r="A88" s="12" t="inlineStr">
        <is>
          <t>Process File pages (Member / Risk / Quality / PCR / Star Performance)</t>
        </is>
      </c>
      <c r="B88" s="12" t="inlineStr">
        <is>
          <t>File required, .csv extension</t>
        </is>
      </c>
      <c r="C88" s="13" t="inlineStr">
        <is>
          <t>Done</t>
        </is>
      </c>
      <c r="D88" s="12" t="inlineStr">
        <is>
          <t>All 5</t>
        </is>
      </c>
    </row>
    <row r="89">
      <c r="A89" s="12" t="inlineStr">
        <is>
          <t>Process File pages (Member / Risk / Quality / PCR / Star Performance)</t>
        </is>
      </c>
      <c r="B89" s="12" t="inlineStr">
        <is>
          <t>Exact header match</t>
        </is>
      </c>
      <c r="C89" s="13" t="inlineStr">
        <is>
          <t>Done</t>
        </is>
      </c>
      <c r="D89" s="12" t="inlineStr">
        <is>
          <t>Member, Risk, Quality, PCR | ❌ Star Performance (dynamic date columns)</t>
        </is>
      </c>
    </row>
    <row r="90">
      <c r="A90" s="12" t="inlineStr">
        <is>
          <t>Process File pages (Member / Risk / Quality / PCR / Star Performance)</t>
        </is>
      </c>
      <c r="B90" s="12" t="inlineStr">
        <is>
          <t>Empty file (&lt; 2 rows)</t>
        </is>
      </c>
      <c r="C90" s="13" t="inlineStr">
        <is>
          <t>Done</t>
        </is>
      </c>
      <c r="D90" s="12" t="inlineStr">
        <is>
          <t>Member</t>
        </is>
      </c>
    </row>
    <row r="91">
      <c r="A91" s="12" t="inlineStr">
        <is>
          <t>Process File pages (Member / Risk / Quality / PCR / Star Performance)</t>
        </is>
      </c>
      <c r="B91" s="12" t="inlineStr">
        <is>
          <t>Date normalisation</t>
        </is>
      </c>
      <c r="C91" s="13" t="inlineStr">
        <is>
          <t>Done</t>
        </is>
      </c>
      <c r="D91" s="12" t="inlineStr"/>
    </row>
    <row r="92">
      <c r="A92" s="12" t="inlineStr">
        <is>
          <t>Process File pages (Member / Risk / Quality / PCR / Star Performance)</t>
        </is>
      </c>
      <c r="B92" s="12" t="inlineStr">
        <is>
          <t>Max file size / row count</t>
        </is>
      </c>
      <c r="C92" s="13" t="inlineStr">
        <is>
          <t>Missing</t>
        </is>
      </c>
      <c r="D92" s="12" t="inlineStr"/>
    </row>
    <row r="93">
      <c r="A93" s="12" t="inlineStr">
        <is>
          <t>Process File pages (Member / Risk / Quality / PCR / Star Performance)</t>
        </is>
      </c>
      <c r="B93" s="12" t="inlineStr">
        <is>
          <t>Row-level checks (required columns, Medicaid ID format, numeric, valid dates)</t>
        </is>
      </c>
      <c r="C93" s="13" t="inlineStr">
        <is>
          <t>Missing</t>
        </is>
      </c>
      <c r="D93" s="12" t="inlineStr"/>
    </row>
    <row r="94">
      <c r="A94" s="12" t="inlineStr">
        <is>
          <t>Process File pages (Member / Risk / Quality / PCR / Star Performance)</t>
        </is>
      </c>
      <c r="B94" s="12" t="inlineStr">
        <is>
          <t>Bad rows reported</t>
        </is>
      </c>
      <c r="C94" s="13" t="inlineStr">
        <is>
          <t>Missing</t>
        </is>
      </c>
      <c r="D94" s="12" t="inlineStr">
        <is>
          <t>Member file silently skips rows whose column count differs</t>
        </is>
      </c>
    </row>
    <row r="95">
      <c r="A95" s="12" t="inlineStr">
        <is>
          <t>Process File pages (Member / Risk / Quality / PCR / Star Performance)</t>
        </is>
      </c>
      <c r="B95" s="12" t="inlineStr">
        <is>
          <t>Quoted CSV values</t>
        </is>
      </c>
      <c r="C95" s="13" t="inlineStr">
        <is>
          <t>Partial</t>
        </is>
      </c>
      <c r="D95" s="12" t="inlineStr">
        <is>
          <t>Member file uses split(','), so values containing commas break. Others use Papa Parse</t>
        </is>
      </c>
    </row>
    <row r="96">
      <c r="A96" s="12" t="inlineStr">
        <is>
          <t>Process File pages (Member / Risk / Quality / PCR / Star Performance)</t>
        </is>
      </c>
      <c r="B96" s="12" t="inlineStr">
        <is>
          <t>Duplicate rows within the file</t>
        </is>
      </c>
      <c r="C96" s="13" t="inlineStr">
        <is>
          <t>Missing</t>
        </is>
      </c>
      <c r="D96" s="12" t="inlineStr"/>
    </row>
    <row r="97">
      <c r="A97" s="12" t="inlineStr">
        <is>
          <t>Reports</t>
        </is>
      </c>
      <c r="B97" s="12" t="inlineStr">
        <is>
          <t>Appointments, Action Log, Outreach, Gaps, System Log</t>
        </is>
      </c>
      <c r="C97" s="13" t="inlineStr">
        <is>
          <t>Done</t>
        </is>
      </c>
      <c r="D97" s="12" t="inlineStr">
        <is>
          <t>Start/end required + end &gt;= start (group validator)</t>
        </is>
      </c>
    </row>
    <row r="98">
      <c r="A98" s="12" t="inlineStr">
        <is>
          <t>Reports</t>
        </is>
      </c>
      <c r="B98" s="12" t="inlineStr">
        <is>
          <t>File Log Report</t>
        </is>
      </c>
      <c r="C98" s="13" t="inlineStr">
        <is>
          <t>Done</t>
        </is>
      </c>
      <c r="D98" s="12" t="inlineStr">
        <is>
          <t>Type + list required</t>
        </is>
      </c>
    </row>
    <row r="99">
      <c r="A99" s="12" t="inlineStr">
        <is>
          <t>Reports</t>
        </is>
      </c>
      <c r="B99" s="12" t="inlineStr">
        <is>
          <t>Max date range</t>
        </is>
      </c>
      <c r="C99" s="13" t="inlineStr">
        <is>
          <t>Missing</t>
        </is>
      </c>
      <c r="D99" s="12" t="inlineStr">
        <is>
          <t>Only the server enforces it, and only in prismLogdetailsbymedicaid</t>
        </is>
      </c>
    </row>
    <row r="100">
      <c r="A100" s="12" t="inlineStr">
        <is>
          <t>Reports</t>
        </is>
      </c>
      <c r="B100" s="12" t="inlineStr">
        <is>
          <t>Future dates</t>
        </is>
      </c>
      <c r="C100" s="13" t="inlineStr">
        <is>
          <t>Missing</t>
        </is>
      </c>
      <c r="D100" s="12" t="inlineStr"/>
    </row>
    <row r="101">
      <c r="A101" s="12" t="inlineStr">
        <is>
          <t>Reports</t>
        </is>
      </c>
      <c r="B101" s="12" t="inlineStr">
        <is>
          <t>Member Risk, Star Performance</t>
        </is>
      </c>
      <c r="C101" s="13" t="inlineStr">
        <is>
          <t>Missing</t>
        </is>
      </c>
      <c r="D101" s="12" t="inlineStr">
        <is>
          <t>No validation (year/plan)</t>
        </is>
      </c>
    </row>
    <row r="102">
      <c r="A102" s="12" t="inlineStr">
        <is>
          <t>Reports</t>
        </is>
      </c>
      <c r="B102" s="12" t="inlineStr">
        <is>
          <t>CSV export formula escaping (=, +, -, @)</t>
        </is>
      </c>
      <c r="C102" s="13" t="inlineStr">
        <is>
          <t>Missing</t>
        </is>
      </c>
      <c r="D102" s="12" t="inlineStr">
        <is>
          <t>CSV injection risk</t>
        </is>
      </c>
    </row>
    <row r="103">
      <c r="A103" s="12" t="inlineStr">
        <is>
          <t>Global client restrictions</t>
        </is>
      </c>
      <c r="B103" s="12" t="inlineStr">
        <is>
          <t>Inactivity logout (10 min)</t>
        </is>
      </c>
      <c r="C103" s="13" t="inlineStr">
        <is>
          <t>Done</t>
        </is>
      </c>
      <c r="D103" s="12" t="inlineStr">
        <is>
          <t>auth.service.ts</t>
        </is>
      </c>
    </row>
    <row r="104">
      <c r="A104" s="12" t="inlineStr">
        <is>
          <t>Global client restrictions</t>
        </is>
      </c>
      <c r="B104" s="12" t="inlineStr">
        <is>
          <t>Token refresh + retry on 401</t>
        </is>
      </c>
      <c r="C104" s="13" t="inlineStr">
        <is>
          <t>Done</t>
        </is>
      </c>
      <c r="D104" s="12" t="inlineStr">
        <is>
          <t>token.interceptor.ts</t>
        </is>
      </c>
    </row>
    <row r="105">
      <c r="A105" s="12" t="inlineStr">
        <is>
          <t>Global client restrictions</t>
        </is>
      </c>
      <c r="B105" s="12" t="inlineStr">
        <is>
          <t>Sidebar hides menus by role</t>
        </is>
      </c>
      <c r="C105" s="13" t="inlineStr">
        <is>
          <t>Done</t>
        </is>
      </c>
      <c r="D105" s="12" t="inlineStr">
        <is>
          <t>Cosmetic only</t>
        </is>
      </c>
    </row>
    <row r="106">
      <c r="A106" s="12" t="inlineStr">
        <is>
          <t>Global client restrictions</t>
        </is>
      </c>
      <c r="B106" s="12" t="inlineStr">
        <is>
          <t>Page access check (HeaderService.setTitle)</t>
        </is>
      </c>
      <c r="C106" s="13" t="inlineStr">
        <is>
          <t>Partial</t>
        </is>
      </c>
      <c r="D106" s="12" t="inlineStr">
        <is>
          <t>Runs after the component loads; reads localStorage</t>
        </is>
      </c>
    </row>
    <row r="107">
      <c r="A107" s="12" t="inlineStr">
        <is>
          <t>Global client restrictions</t>
        </is>
      </c>
      <c r="B107" s="12" t="inlineStr">
        <is>
          <t>Route guards (auth + role)</t>
        </is>
      </c>
      <c r="C107" s="13" t="inlineStr">
        <is>
          <t>Missing</t>
        </is>
      </c>
      <c r="D107" s="12" t="inlineStr"/>
    </row>
    <row r="108">
      <c r="A108" s="12" t="inlineStr">
        <is>
          <t>Global client restrictions</t>
        </is>
      </c>
      <c r="B108" s="12" t="inlineStr">
        <is>
          <t>Global 403 handler</t>
        </is>
      </c>
      <c r="C108" s="13" t="inlineStr">
        <is>
          <t>Missing</t>
        </is>
      </c>
      <c r="D108" s="12" t="inlineStr"/>
    </row>
    <row r="109">
      <c r="A109" s="12" t="inlineStr">
        <is>
          <t>Global client restrictions</t>
        </is>
      </c>
      <c r="B109" s="12" t="inlineStr">
        <is>
          <t>Integer-only directives exist</t>
        </is>
      </c>
      <c r="C109" s="13" t="inlineStr">
        <is>
          <t>Partial</t>
        </is>
      </c>
      <c r="D109" s="12" t="inlineStr">
        <is>
          <t>appIntegerOnly / appIntegerPositiveOnly are never used in any template</t>
        </is>
      </c>
    </row>
    <row r="110">
      <c r="A110" s="12" t="inlineStr">
        <is>
          <t>Global client restrictions</t>
        </is>
      </c>
      <c r="B110" s="12" t="inlineStr">
        <is>
          <t>Storage encryption</t>
        </is>
      </c>
      <c r="C110" s="13" t="inlineStr">
        <is>
          <t>Missing</t>
        </is>
      </c>
      <c r="D110" s="12" t="inlineStr">
        <is>
          <t>storageEncryption: false; key derived from a function name; CryptoService hard-coded key</t>
        </is>
      </c>
    </row>
    <row r="111">
      <c r="A111" s="12" t="inlineStr">
        <is>
          <t>Global client restrictions</t>
        </is>
      </c>
      <c r="B111" s="12" t="inlineStr">
        <is>
          <t>console.log in source</t>
        </is>
      </c>
      <c r="C111" s="13" t="inlineStr">
        <is>
          <t>Partial</t>
        </is>
      </c>
      <c r="D111" s="12" t="inlineStr">
        <is>
          <t>18 occurrences; remove any PHI from them</t>
        </is>
      </c>
    </row>
  </sheetData>
  <conditionalFormatting sqref="C5:C111">
    <cfRule type="cellIs" priority="1" operator="equal" dxfId="0">
      <formula>"Done"</formula>
    </cfRule>
    <cfRule type="cellIs" priority="2" operator="equal" dxfId="1">
      <formula>"Partial"</formula>
    </cfRule>
    <cfRule type="cellIs" priority="3" operator="equal" dxfId="2">
      <formula>"Missing"</formula>
    </cfRule>
    <cfRule type="cellIs" priority="4" operator="equal" dxfId="3">
      <formula>"Unknown"</formula>
    </cfRule>
  </conditionalFormatting>
  <dataValidations count="1">
    <dataValidation sqref="C5:C111" showDropDown="0" showInputMessage="0" showErrorMessage="0" allowBlank="1" type="list">
      <formula1>"Done,Partial,Missing,Unknown"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30" customWidth="1" min="3" max="3"/>
    <col width="55" customWidth="1" min="4" max="4"/>
    <col width="60" customWidth="1" min="5" max="5"/>
  </cols>
  <sheetData>
    <row r="1">
      <c r="A1" s="10" t="inlineStr">
        <is>
          <t>Server-Side Validation - Lambda by Lambda</t>
        </is>
      </c>
    </row>
    <row r="2">
      <c r="A2" s="2" t="inlineStr">
        <is>
          <t>Source: docs/VALIDATION_AUDIT.md | audit date 2026-10-03 | branch dev | static code review</t>
        </is>
      </c>
    </row>
    <row r="4">
      <c r="A4" s="11" t="inlineStr">
        <is>
          <t>Lambda</t>
        </is>
      </c>
      <c r="B4" s="11" t="inlineStr">
        <is>
          <t>Auth (caller sub)</t>
        </is>
      </c>
      <c r="C4" s="11" t="inlineStr">
        <is>
          <t>Role / Ownership</t>
        </is>
      </c>
      <c r="D4" s="11" t="inlineStr">
        <is>
          <t>Input validation done</t>
        </is>
      </c>
      <c r="E4" s="11" t="inlineStr">
        <is>
          <t>Missing</t>
        </is>
      </c>
    </row>
    <row r="5">
      <c r="A5" s="12" t="inlineStr">
        <is>
          <t>prismAuthentication</t>
        </is>
      </c>
      <c r="B5" s="13" t="inlineStr">
        <is>
          <t>n/a (login)</t>
        </is>
      </c>
      <c r="C5" s="12" t="inlineStr">
        <is>
          <t>–</t>
        </is>
      </c>
      <c r="D5" s="12" t="inlineStr">
        <is>
          <t>username/password required; bcrypt; lock check (423); active users only</t>
        </is>
      </c>
      <c r="E5" s="12" t="inlineStr">
        <is>
          <t>Doesn't increment failed attempts itself; returns 200 when password expired; returns all roles' page access</t>
        </is>
      </c>
    </row>
    <row r="6">
      <c r="A6" s="12" t="inlineStr">
        <is>
          <t>loginSuccessReset</t>
        </is>
      </c>
      <c r="B6" s="13" t="inlineStr">
        <is>
          <t>Missing</t>
        </is>
      </c>
      <c r="C6" s="12" t="inlineStr">
        <is>
          <t>Missing</t>
        </is>
      </c>
      <c r="D6" s="12" t="inlineStr">
        <is>
          <t>username required</t>
        </is>
      </c>
      <c r="E6" s="12" t="inlineStr">
        <is>
          <t>P1 #8</t>
        </is>
      </c>
    </row>
    <row r="7">
      <c r="A7" s="12" t="inlineStr">
        <is>
          <t>prismLockedCognitoUser</t>
        </is>
      </c>
      <c r="B7" s="13" t="inlineStr">
        <is>
          <t>Done</t>
        </is>
      </c>
      <c r="C7" s="12" t="inlineStr">
        <is>
          <t>Done - Admin</t>
        </is>
      </c>
      <c r="D7" s="12" t="inlineStr">
        <is>
          <t>username required</t>
        </is>
      </c>
      <c r="E7" s="12" t="inlineStr">
        <is>
          <t>Conflicts with the login lockout flow (see 1.1)</t>
        </is>
      </c>
    </row>
    <row r="8">
      <c r="A8" s="12" t="inlineStr">
        <is>
          <t>prismAdminUnLockedCognitoUser</t>
        </is>
      </c>
      <c r="B8" s="13" t="inlineStr">
        <is>
          <t>Done</t>
        </is>
      </c>
      <c r="C8" s="12" t="inlineStr">
        <is>
          <t>Done - Admin</t>
        </is>
      </c>
      <c r="D8" s="12" t="inlineStr">
        <is>
          <t>username required</t>
        </is>
      </c>
      <c r="E8" s="12" t="inlineStr">
        <is>
          <t>–</t>
        </is>
      </c>
    </row>
    <row r="9">
      <c r="A9" s="12" t="inlineStr">
        <is>
          <t>prismUserPasswordUpdate</t>
        </is>
      </c>
      <c r="B9" s="13" t="inlineStr">
        <is>
          <t>Missing</t>
        </is>
      </c>
      <c r="C9" s="12" t="inlineStr">
        <is>
          <t>Missing</t>
        </is>
      </c>
      <c r="D9" s="12" t="inlineStr">
        <is>
          <t>ID, password required; 15-char policy</t>
        </is>
      </c>
      <c r="E9" s="12" t="inlineStr">
        <is>
          <t>P1 #5; ID integer check</t>
        </is>
      </c>
    </row>
    <row r="10">
      <c r="A10" s="12" t="inlineStr">
        <is>
          <t>prismUpdateCognitoUser</t>
        </is>
      </c>
      <c r="B10" s="13" t="inlineStr">
        <is>
          <t>Missing</t>
        </is>
      </c>
      <c r="C10" s="12" t="inlineStr">
        <is>
          <t>Missing</t>
        </is>
      </c>
      <c r="D10" s="12" t="inlineStr">
        <is>
          <t>username required; attribute allow-list; policy</t>
        </is>
      </c>
      <c r="E10" s="12" t="inlineStr">
        <is>
          <t>P1 #4; returns 500 for missing username (should be 400)</t>
        </is>
      </c>
    </row>
    <row r="11">
      <c r="A11" s="12" t="inlineStr">
        <is>
          <t>prismCreateCognitoUser</t>
        </is>
      </c>
      <c r="B11" s="13" t="inlineStr">
        <is>
          <t>Missing</t>
        </is>
      </c>
      <c r="C11" s="12" t="inlineStr">
        <is>
          <t>Missing</t>
        </is>
      </c>
      <c r="D11" s="12" t="inlineStr">
        <is>
          <t>email format; policy; numeric role</t>
        </is>
      </c>
      <c r="E11" s="12" t="inlineStr">
        <is>
          <t>P1 #6</t>
        </is>
      </c>
    </row>
    <row r="12">
      <c r="A12" s="12" t="inlineStr">
        <is>
          <t>prismCreateUser</t>
        </is>
      </c>
      <c r="B12" s="13" t="inlineStr">
        <is>
          <t>Missing</t>
        </is>
      </c>
      <c r="C12" s="12" t="inlineStr">
        <is>
          <t>Missing</t>
        </is>
      </c>
      <c r="D12" s="12" t="inlineStr">
        <is>
          <t>required; trim; length; email; ints; status ∈ {0,1}; policy; 409 on duplicate</t>
        </is>
      </c>
      <c r="E12" s="12" t="inlineStr">
        <is>
          <t>P1 #6; role/department exist in master tables</t>
        </is>
      </c>
    </row>
    <row r="13">
      <c r="A13" s="12" t="inlineStr">
        <is>
          <t>prismUpdateUser</t>
        </is>
      </c>
      <c r="B13" s="13" t="inlineStr">
        <is>
          <t>Done</t>
        </is>
      </c>
      <c r="C13" s="12" t="inlineStr">
        <is>
          <t>Done - Admin</t>
        </is>
      </c>
      <c r="D13" s="12" t="inlineStr">
        <is>
          <t>required; ints; status; optional policy</t>
        </is>
      </c>
      <c r="E13" s="12" t="inlineStr">
        <is>
          <t>Name length/trim; role/department exist; Admin can't demote self</t>
        </is>
      </c>
    </row>
    <row r="14">
      <c r="A14" s="12" t="inlineStr">
        <is>
          <t>prismMultipleinsert</t>
        </is>
      </c>
      <c r="B14" s="13" t="inlineStr">
        <is>
          <t>Done</t>
        </is>
      </c>
      <c r="C14" s="12" t="inlineStr">
        <is>
          <t>Partial - Admin only for ROLE_PAGE_ACCESS</t>
        </is>
      </c>
      <c r="D14" s="12" t="inlineStr">
        <is>
          <t>table allow-list; required fields per table; identifier check; batching</t>
        </is>
      </c>
      <c r="E14" s="12" t="inlineStr">
        <is>
          <t>Column allow-list per table; member ownership for medicaid_id rows; audit fields from caller; type/format/length checks (phone, zip, email, dates); max rows; MEM_GAP_OBSERVATION_DATA and *_TEMP have no required fields; temp tables not Admin-gated</t>
        </is>
      </c>
    </row>
    <row r="15">
      <c r="A15" s="12" t="inlineStr">
        <is>
          <t>prismMultipleRowInsert</t>
        </is>
      </c>
      <c r="B15" s="13" t="inlineStr">
        <is>
          <t>Missing</t>
        </is>
      </c>
      <c r="C15" s="12" t="inlineStr">
        <is>
          <t>Missing</t>
        </is>
      </c>
      <c r="D15" s="12" t="inlineStr">
        <is>
          <t>table allow-list; required fields</t>
        </is>
      </c>
      <c r="E15" s="12" t="inlineStr">
        <is>
          <t>P1 #3 (same gaps as above)</t>
        </is>
      </c>
    </row>
    <row r="16">
      <c r="A16" s="12" t="inlineStr">
        <is>
          <t>prismMultiplefieldupdate</t>
        </is>
      </c>
      <c r="B16" s="13" t="inlineStr">
        <is>
          <t>Missing</t>
        </is>
      </c>
      <c r="C16" s="12" t="inlineStr">
        <is>
          <t>Missing</t>
        </is>
      </c>
      <c r="D16" s="12" t="inlineStr">
        <is>
          <t>table + id-column allow-list; required fields; no blank values</t>
        </is>
      </c>
      <c r="E16" s="12" t="inlineStr">
        <is>
          <t>P1 #1; column allow-list (any column of an allowed table can be set)</t>
        </is>
      </c>
    </row>
    <row r="17">
      <c r="A17" s="12" t="inlineStr">
        <is>
          <t>prismMultipleRowAndFieldUpdate</t>
        </is>
      </c>
      <c r="B17" s="13" t="inlineStr">
        <is>
          <t>Missing</t>
        </is>
      </c>
      <c r="C17" s="12" t="inlineStr">
        <is>
          <t>Missing</t>
        </is>
      </c>
      <c r="D17" s="12" t="inlineStr">
        <is>
          <t>table + id-column allow-list; identifier check</t>
        </is>
      </c>
      <c r="E17" s="12" t="inlineStr">
        <is>
          <t>P1 #2; column allow-list; max rows; values not checked</t>
        </is>
      </c>
    </row>
    <row r="18">
      <c r="A18" s="12" t="inlineStr">
        <is>
          <t>prismUploadplandocument</t>
        </is>
      </c>
      <c r="B18" s="13" t="inlineStr">
        <is>
          <t>Done</t>
        </is>
      </c>
      <c r="C18" s="12" t="inlineStr">
        <is>
          <t>Done - Admin, or page access + owner</t>
        </is>
      </c>
      <c r="D18" s="12" t="inlineStr">
        <is>
          <t>filename safe; directory allow-list; id integer; env pattern; bucket fixed</t>
        </is>
      </c>
      <c r="E18" s="12" t="inlineStr">
        <is>
          <t>fileType / extension allow-list; size limit (use presigned POST with content-length-range); prod code allows http:// dev + localhost origins</t>
        </is>
      </c>
    </row>
    <row r="19">
      <c r="A19" s="12" t="inlineStr">
        <is>
          <t>prismdeleteAttachment</t>
        </is>
      </c>
      <c r="B19" s="13" t="inlineStr">
        <is>
          <t>Missing</t>
        </is>
      </c>
      <c r="C19" s="12" t="inlineStr">
        <is>
          <t>Missing</t>
        </is>
      </c>
      <c r="D19" s="12" t="inlineStr">
        <is>
          <t>id integer</t>
        </is>
      </c>
      <c r="E19" s="12" t="inlineStr">
        <is>
          <t>P1 #7</t>
        </is>
      </c>
    </row>
    <row r="20">
      <c r="A20" s="12" t="inlineStr">
        <is>
          <t>prismdeleteGapObservations</t>
        </is>
      </c>
      <c r="B20" s="13" t="inlineStr">
        <is>
          <t>Done</t>
        </is>
      </c>
      <c r="C20" s="12" t="inlineStr">
        <is>
          <t>Partial - owner by subscriber</t>
        </is>
      </c>
      <c r="D20" s="12" t="inlineStr">
        <is>
          <t>&lt;=500 records; id integer; subscriber required; Type ∈ risk/quality</t>
        </is>
      </c>
      <c r="E20" s="12" t="inlineStr">
        <is>
          <t>Record id is not verified to belong to its subscriber_number (pair an owned subscriber with any id); Admin gets 403 (no Admin bypass)</t>
        </is>
      </c>
    </row>
    <row r="21">
      <c r="A21" s="12" t="inlineStr">
        <is>
          <t>prismUpdategapStatus / prismUpdatequalityStatus</t>
        </is>
      </c>
      <c r="B21" s="13" t="inlineStr">
        <is>
          <t>Done</t>
        </is>
      </c>
      <c r="C21" s="12" t="inlineStr">
        <is>
          <t>Done - Admin or owner</t>
        </is>
      </c>
      <c r="D21" s="12" t="inlineStr">
        <is>
          <t>medicaid_id required; diag codes non-empty</t>
        </is>
      </c>
      <c r="E21" s="12" t="inlineStr">
        <is>
          <t>action_id integer check; code format</t>
        </is>
      </c>
    </row>
    <row r="22">
      <c r="A22" s="12" t="inlineStr">
        <is>
          <t>prismUnSetMemberGapsStatus / prismUnSetqualityStatus</t>
        </is>
      </c>
      <c r="B22" s="13" t="inlineStr">
        <is>
          <t>Done</t>
        </is>
      </c>
      <c r="C22" s="12" t="inlineStr">
        <is>
          <t>Done - Admin or owner</t>
        </is>
      </c>
      <c r="D22" s="12" t="inlineStr">
        <is>
          <t>medicaid_id required</t>
        </is>
      </c>
      <c r="E22" s="12" t="inlineStr">
        <is>
          <t>action_id type (bound as VarChar in one)</t>
        </is>
      </c>
    </row>
    <row r="23">
      <c r="A23" s="12" t="inlineStr">
        <is>
          <t>prismUpdatePlanyearForRiskgap</t>
        </is>
      </c>
      <c r="B23" s="13" t="inlineStr">
        <is>
          <t>Missing</t>
        </is>
      </c>
      <c r="C23" s="12" t="inlineStr">
        <is>
          <t>Missing</t>
        </is>
      </c>
      <c r="D23" s="12" t="inlineStr">
        <is>
          <t>required; year range 2000...current+1</t>
        </is>
      </c>
      <c r="E23" s="12" t="inlineStr">
        <is>
          <t>P1 #13</t>
        </is>
      </c>
    </row>
    <row r="24">
      <c r="A24" s="12" t="inlineStr">
        <is>
          <t>prismProcess{Members,PCR,QualityGaps,RiskGaps}...</t>
        </is>
      </c>
      <c r="B24" s="13" t="inlineStr">
        <is>
          <t>Done</t>
        </is>
      </c>
      <c r="C24" s="12" t="inlineStr">
        <is>
          <t>Done - Admin</t>
        </is>
      </c>
      <c r="D24" s="12" t="inlineStr">
        <is>
          <t>session_id numeric</t>
        </is>
      </c>
      <c r="E24" s="12" t="inlineStr">
        <is>
          <t>Validation of staged rows before commit</t>
        </is>
      </c>
    </row>
    <row r="25">
      <c r="A25" s="12" t="inlineStr">
        <is>
          <t>prismProcessStarPerformanceSeccionID</t>
        </is>
      </c>
      <c r="B25" s="13" t="inlineStr">
        <is>
          <t>Unknown</t>
        </is>
      </c>
      <c r="C25" s="12" t="inlineStr">
        <is>
          <t>Unknown</t>
        </is>
      </c>
      <c r="D25" s="12" t="inlineStr">
        <is>
          <t>?</t>
        </is>
      </c>
      <c r="E25" s="12" t="inlineStr">
        <is>
          <t>Source not in repo (stub only)</t>
        </is>
      </c>
    </row>
    <row r="26">
      <c r="A26" s="12" t="inlineStr">
        <is>
          <t>prismGetUserMemberList</t>
        </is>
      </c>
      <c r="B26" s="13" t="inlineStr">
        <is>
          <t>Done</t>
        </is>
      </c>
      <c r="C26" s="12" t="inlineStr">
        <is>
          <t>Done - non-admin forced to self</t>
        </is>
      </c>
      <c r="D26" s="12" t="inlineStr">
        <is>
          <t>–</t>
        </is>
      </c>
      <c r="E26" s="12" t="inlineStr">
        <is>
          <t>–</t>
        </is>
      </c>
    </row>
    <row r="27">
      <c r="A27" s="12" t="inlineStr">
        <is>
          <t>prismGetMemberGapsList, prismGetcallhistory, prismMemberAllDetails</t>
        </is>
      </c>
      <c r="B27" s="13" t="inlineStr">
        <is>
          <t>Done</t>
        </is>
      </c>
      <c r="C27" s="12" t="inlineStr">
        <is>
          <t>Done - Admin or owner</t>
        </is>
      </c>
      <c r="D27" s="12" t="inlineStr">
        <is>
          <t>medicaid_id required</t>
        </is>
      </c>
      <c r="E27" s="12" t="inlineStr">
        <is>
          <t>year params unchecked (gaps)</t>
        </is>
      </c>
    </row>
    <row r="28">
      <c r="A28" s="12" t="inlineStr">
        <is>
          <t>prismGetappointmentList</t>
        </is>
      </c>
      <c r="B28" s="13" t="inlineStr">
        <is>
          <t>Done</t>
        </is>
      </c>
      <c r="C28" s="12" t="inlineStr">
        <is>
          <t>Done - Admin or owner</t>
        </is>
      </c>
      <c r="D28" s="12" t="inlineStr">
        <is>
          <t>dates parsed</t>
        </is>
      </c>
      <c r="E28" s="12" t="inlineStr">
        <is>
          <t>Max range</t>
        </is>
      </c>
    </row>
    <row r="29">
      <c r="A29" s="12" t="inlineStr">
        <is>
          <t>prismGetMemberUpcommingTaskList</t>
        </is>
      </c>
      <c r="B29" s="13" t="inlineStr">
        <is>
          <t>Done</t>
        </is>
      </c>
      <c r="C29" s="12" t="inlineStr">
        <is>
          <t>Done - non-admin forced to self</t>
        </is>
      </c>
      <c r="D29" s="12" t="inlineStr">
        <is>
          <t>–</t>
        </is>
      </c>
      <c r="E29" s="12" t="inlineStr">
        <is>
          <t>–</t>
        </is>
      </c>
    </row>
    <row r="30">
      <c r="A30" s="12" t="inlineStr">
        <is>
          <t>prismLogdetailsbymedicaid</t>
        </is>
      </c>
      <c r="B30" s="13" t="inlineStr">
        <is>
          <t>Done</t>
        </is>
      </c>
      <c r="C30" s="12" t="inlineStr">
        <is>
          <t>Done - Admin</t>
        </is>
      </c>
      <c r="D30" s="12" t="inlineStr">
        <is>
          <t>dates required, valid, end &gt;= start, max range</t>
        </is>
      </c>
      <c r="E30" s="12" t="inlineStr">
        <is>
          <t>–</t>
        </is>
      </c>
    </row>
    <row r="31">
      <c r="A31" s="12" t="inlineStr">
        <is>
          <t>prismGetPageAccessList, prismUserslist</t>
        </is>
      </c>
      <c r="B31" s="13" t="inlineStr">
        <is>
          <t>Done</t>
        </is>
      </c>
      <c r="C31" s="12" t="inlineStr">
        <is>
          <t>Done - Admin</t>
        </is>
      </c>
      <c r="D31" s="12" t="inlineStr">
        <is>
          <t>–</t>
        </is>
      </c>
      <c r="E31" s="12" t="inlineStr">
        <is>
          <t>–</t>
        </is>
      </c>
    </row>
    <row r="32">
      <c r="A32" s="12" t="inlineStr">
        <is>
          <t>prismGetproviderIdByTin</t>
        </is>
      </c>
      <c r="B32" s="13" t="inlineStr">
        <is>
          <t>Missing</t>
        </is>
      </c>
      <c r="C32" s="12" t="inlineStr">
        <is>
          <t>Missing</t>
        </is>
      </c>
      <c r="D32" s="12" t="inlineStr">
        <is>
          <t>TIN = 9 digits</t>
        </is>
      </c>
      <c r="E32" s="12" t="inlineStr">
        <is>
          <t>Auth (low risk, reference data)</t>
        </is>
      </c>
    </row>
  </sheetData>
  <conditionalFormatting sqref="B5:B32">
    <cfRule type="cellIs" priority="1" operator="equal" dxfId="0">
      <formula>"Done"</formula>
    </cfRule>
    <cfRule type="cellIs" priority="2" operator="equal" dxfId="1">
      <formula>"Partial"</formula>
    </cfRule>
    <cfRule type="cellIs" priority="3" operator="equal" dxfId="2">
      <formula>"Missing"</formula>
    </cfRule>
    <cfRule type="cellIs" priority="4" operator="equal" dxfId="3">
      <formula>"Unknown"</formula>
    </cfRule>
  </conditionalFormatting>
  <conditionalFormatting sqref="C5:C32">
    <cfRule type="expression" priority="5" dxfId="4">
      <formula>LEFT(C5,4)="Done"</formula>
    </cfRule>
    <cfRule type="expression" priority="6" dxfId="5">
      <formula>LEFT(C5,7)="Partial"</formula>
    </cfRule>
    <cfRule type="expression" priority="7" dxfId="6">
      <formula>LEFT(C5,7)="Missing"</formula>
    </cfRule>
    <cfRule type="expression" priority="8" dxfId="7">
      <formula>LEFT(C5,7)="Unknown"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2" customWidth="1" min="2" max="2"/>
    <col width="14" customWidth="1" min="3" max="3"/>
    <col width="62" customWidth="1" min="4" max="4"/>
  </cols>
  <sheetData>
    <row r="1">
      <c r="A1" s="10" t="inlineStr">
        <is>
          <t>Endpoints Called by UI With No Source in Repo</t>
        </is>
      </c>
    </row>
    <row r="2">
      <c r="A2" s="2" t="inlineStr">
        <is>
          <t>Source: docs/VALIDATION_AUDIT.md | audit date 2026-10-03 | branch dev | static code review</t>
        </is>
      </c>
    </row>
    <row r="4">
      <c r="A4" s="11" t="inlineStr">
        <is>
          <t>#</t>
        </is>
      </c>
      <c r="B4" s="11" t="inlineStr">
        <is>
          <t>Endpoint</t>
        </is>
      </c>
      <c r="C4" s="11" t="inlineStr">
        <is>
          <t>Status</t>
        </is>
      </c>
      <c r="D4" s="11" t="inlineStr">
        <is>
          <t>Action</t>
        </is>
      </c>
    </row>
    <row r="5">
      <c r="A5" s="12" t="n">
        <v>1</v>
      </c>
      <c r="B5" s="12" t="inlineStr">
        <is>
          <t>loginFailedIncrement</t>
        </is>
      </c>
      <c r="C5" s="12" t="inlineStr">
        <is>
          <t>Not in repo</t>
        </is>
      </c>
      <c r="D5" s="12" t="inlineStr">
        <is>
          <t>Add source to repo; apply auth + ownership checks</t>
        </is>
      </c>
    </row>
    <row r="6">
      <c r="A6" s="12" t="n">
        <v>2</v>
      </c>
      <c r="B6" s="12" t="inlineStr">
        <is>
          <t>loginOtpInput</t>
        </is>
      </c>
      <c r="C6" s="12" t="inlineStr">
        <is>
          <t>Not in repo</t>
        </is>
      </c>
      <c r="D6" s="12" t="inlineStr">
        <is>
          <t>Add source to repo; apply auth + ownership checks</t>
        </is>
      </c>
    </row>
    <row r="7">
      <c r="A7" s="12" t="n">
        <v>3</v>
      </c>
      <c r="B7" s="12" t="inlineStr">
        <is>
          <t>pismGetbenefits</t>
        </is>
      </c>
      <c r="C7" s="12" t="inlineStr">
        <is>
          <t>Not in repo</t>
        </is>
      </c>
      <c r="D7" s="12" t="inlineStr">
        <is>
          <t>Add source to repo; apply auth + ownership checks</t>
        </is>
      </c>
    </row>
    <row r="8">
      <c r="A8" s="12" t="n">
        <v>4</v>
      </c>
      <c r="B8" s="12" t="inlineStr">
        <is>
          <t>prismActionresultfollowup</t>
        </is>
      </c>
      <c r="C8" s="12" t="inlineStr">
        <is>
          <t>Not in repo</t>
        </is>
      </c>
      <c r="D8" s="12" t="inlineStr">
        <is>
          <t>Add source to repo; apply auth + ownership checks</t>
        </is>
      </c>
    </row>
    <row r="9">
      <c r="A9" s="12" t="n">
        <v>5</v>
      </c>
      <c r="B9" s="12" t="inlineStr">
        <is>
          <t>prismFileProcessLoglistBySession</t>
        </is>
      </c>
      <c r="C9" s="12" t="inlineStr">
        <is>
          <t>Not in repo</t>
        </is>
      </c>
      <c r="D9" s="12" t="inlineStr">
        <is>
          <t>Add source to repo; apply auth + ownership checks</t>
        </is>
      </c>
    </row>
    <row r="10">
      <c r="A10" s="12" t="n">
        <v>6</v>
      </c>
      <c r="B10" s="12" t="inlineStr">
        <is>
          <t>prismFileProcesslistByType</t>
        </is>
      </c>
      <c r="C10" s="12" t="inlineStr">
        <is>
          <t>Not in repo</t>
        </is>
      </c>
      <c r="D10" s="12" t="inlineStr">
        <is>
          <t>Add source to repo; apply auth + ownership checks</t>
        </is>
      </c>
    </row>
    <row r="11">
      <c r="A11" s="12" t="n">
        <v>7</v>
      </c>
      <c r="B11" s="12" t="inlineStr">
        <is>
          <t>prismGetAddActionMasterData</t>
        </is>
      </c>
      <c r="C11" s="12" t="inlineStr">
        <is>
          <t>Not in repo</t>
        </is>
      </c>
      <c r="D11" s="12" t="inlineStr">
        <is>
          <t>Add source to repo; apply auth + ownership checks</t>
        </is>
      </c>
    </row>
    <row r="12">
      <c r="A12" s="12" t="n">
        <v>8</v>
      </c>
      <c r="B12" s="12" t="inlineStr">
        <is>
          <t>prismGetMemberPCPVisitList</t>
        </is>
      </c>
      <c r="C12" s="12" t="inlineStr">
        <is>
          <t>Not in repo</t>
        </is>
      </c>
      <c r="D12" s="12" t="inlineStr">
        <is>
          <t>Add source to repo; apply auth + ownership checks</t>
        </is>
      </c>
    </row>
    <row r="13">
      <c r="A13" s="12" t="n">
        <v>9</v>
      </c>
      <c r="B13" s="12" t="inlineStr">
        <is>
          <t>prismGetProviderListByVendorId</t>
        </is>
      </c>
      <c r="C13" s="12" t="inlineStr">
        <is>
          <t>Not in repo</t>
        </is>
      </c>
      <c r="D13" s="12" t="inlineStr">
        <is>
          <t>Add source to repo; apply auth + ownership checks</t>
        </is>
      </c>
    </row>
    <row r="14">
      <c r="A14" s="12" t="n">
        <v>10</v>
      </c>
      <c r="B14" s="12" t="inlineStr">
        <is>
          <t>prismGetStarPerformanceByYear</t>
        </is>
      </c>
      <c r="C14" s="12" t="inlineStr">
        <is>
          <t>Not in repo</t>
        </is>
      </c>
      <c r="D14" s="12" t="inlineStr">
        <is>
          <t>Add source to repo; apply auth + ownership checks</t>
        </is>
      </c>
    </row>
    <row r="15">
      <c r="A15" s="12" t="n">
        <v>11</v>
      </c>
      <c r="B15" s="12" t="inlineStr">
        <is>
          <t>prismGetTempMembersBySeccionID</t>
        </is>
      </c>
      <c r="C15" s="12" t="inlineStr">
        <is>
          <t>Not in repo</t>
        </is>
      </c>
      <c r="D15" s="12" t="inlineStr">
        <is>
          <t>Add source to repo; apply auth + ownership checks</t>
        </is>
      </c>
    </row>
    <row r="16">
      <c r="A16" s="12" t="n">
        <v>12</v>
      </c>
      <c r="B16" s="12" t="inlineStr">
        <is>
          <t>prismGetTempQualityGapsBySeccionID</t>
        </is>
      </c>
      <c r="C16" s="12" t="inlineStr">
        <is>
          <t>Not in repo</t>
        </is>
      </c>
      <c r="D16" s="12" t="inlineStr">
        <is>
          <t>Add source to repo; apply auth + ownership checks</t>
        </is>
      </c>
    </row>
    <row r="17">
      <c r="A17" s="12" t="n">
        <v>13</v>
      </c>
      <c r="B17" s="12" t="inlineStr">
        <is>
          <t>prismGetTempRiskGapsBySeccionID</t>
        </is>
      </c>
      <c r="C17" s="12" t="inlineStr">
        <is>
          <t>Not in repo</t>
        </is>
      </c>
      <c r="D17" s="12" t="inlineStr">
        <is>
          <t>Add source to repo; apply auth + ownership checks</t>
        </is>
      </c>
    </row>
    <row r="18">
      <c r="A18" s="12" t="n">
        <v>14</v>
      </c>
      <c r="B18" s="12" t="inlineStr">
        <is>
          <t>prismGetTempStarPerformanceBySeccionID</t>
        </is>
      </c>
      <c r="C18" s="12" t="inlineStr">
        <is>
          <t>Not in repo</t>
        </is>
      </c>
      <c r="D18" s="12" t="inlineStr">
        <is>
          <t>Add source to repo; apply auth + ownership checks</t>
        </is>
      </c>
    </row>
    <row r="19">
      <c r="A19" s="12" t="n">
        <v>15</v>
      </c>
      <c r="B19" s="12" t="inlineStr">
        <is>
          <t>prismGetUserByEmail</t>
        </is>
      </c>
      <c r="C19" s="12" t="inlineStr">
        <is>
          <t>Not in repo</t>
        </is>
      </c>
      <c r="D19" s="12" t="inlineStr">
        <is>
          <t>Add source to repo; apply auth + ownership checks (email-enumeration risk if open)</t>
        </is>
      </c>
    </row>
    <row r="20">
      <c r="A20" s="12" t="n">
        <v>16</v>
      </c>
      <c r="B20" s="12" t="inlineStr">
        <is>
          <t>prismGetattachmentListbytypeId</t>
        </is>
      </c>
      <c r="C20" s="12" t="inlineStr">
        <is>
          <t>Not in repo</t>
        </is>
      </c>
      <c r="D20" s="12" t="inlineStr">
        <is>
          <t>Add source to repo; apply auth + ownership checks</t>
        </is>
      </c>
    </row>
    <row r="21">
      <c r="A21" s="12" t="n">
        <v>17</v>
      </c>
      <c r="B21" s="12" t="inlineStr">
        <is>
          <t>prismGetcihpcr</t>
        </is>
      </c>
      <c r="C21" s="12" t="inlineStr">
        <is>
          <t>Not in repo</t>
        </is>
      </c>
      <c r="D21" s="12" t="inlineStr">
        <is>
          <t>Add source to repo; apply auth + ownership checks</t>
        </is>
      </c>
    </row>
    <row r="22">
      <c r="A22" s="12" t="n">
        <v>18</v>
      </c>
      <c r="B22" s="12" t="inlineStr">
        <is>
          <t>prismGetgapList</t>
        </is>
      </c>
      <c r="C22" s="12" t="inlineStr">
        <is>
          <t>Not in repo</t>
        </is>
      </c>
      <c r="D22" s="12" t="inlineStr">
        <is>
          <t>Add source to repo; apply auth + ownership checks</t>
        </is>
      </c>
    </row>
    <row r="23">
      <c r="A23" s="12" t="n">
        <v>19</v>
      </c>
      <c r="B23" s="12" t="inlineStr">
        <is>
          <t>prismGetgapsobservationdata</t>
        </is>
      </c>
      <c r="C23" s="12" t="inlineStr">
        <is>
          <t>Not in repo</t>
        </is>
      </c>
      <c r="D23" s="12" t="inlineStr">
        <is>
          <t>Add source to repo; apply auth + ownership checks</t>
        </is>
      </c>
    </row>
    <row r="24">
      <c r="A24" s="12" t="n">
        <v>20</v>
      </c>
      <c r="B24" s="12" t="inlineStr">
        <is>
          <t>prismGetqualityList</t>
        </is>
      </c>
      <c r="C24" s="12" t="inlineStr">
        <is>
          <t>Not in repo</t>
        </is>
      </c>
      <c r="D24" s="12" t="inlineStr">
        <is>
          <t>Add source to repo; apply auth + ownership checks</t>
        </is>
      </c>
    </row>
    <row r="25">
      <c r="A25" s="12" t="n">
        <v>21</v>
      </c>
      <c r="B25" s="12" t="inlineStr">
        <is>
          <t>prismGetuserlistbyrole</t>
        </is>
      </c>
      <c r="C25" s="12" t="inlineStr">
        <is>
          <t>Not in repo</t>
        </is>
      </c>
      <c r="D25" s="12" t="inlineStr">
        <is>
          <t>Add source to repo; apply auth + ownership checks</t>
        </is>
      </c>
    </row>
    <row r="26">
      <c r="A26" s="12" t="n">
        <v>22</v>
      </c>
      <c r="B26" s="12" t="inlineStr">
        <is>
          <t>prismGetusersbydeptid</t>
        </is>
      </c>
      <c r="C26" s="12" t="inlineStr">
        <is>
          <t>Not in repo</t>
        </is>
      </c>
      <c r="D26" s="12" t="inlineStr">
        <is>
          <t>Add source to repo; apply auth + ownership checks</t>
        </is>
      </c>
    </row>
    <row r="27">
      <c r="A27" s="12" t="n">
        <v>23</v>
      </c>
      <c r="B27" s="12" t="inlineStr">
        <is>
          <t>prismLogbyuserid</t>
        </is>
      </c>
      <c r="C27" s="12" t="inlineStr">
        <is>
          <t>Not in repo</t>
        </is>
      </c>
      <c r="D27" s="12" t="inlineStr">
        <is>
          <t>Add source to repo; apply auth + ownership checks</t>
        </is>
      </c>
    </row>
    <row r="28">
      <c r="A28" s="12" t="n">
        <v>24</v>
      </c>
      <c r="B28" s="12" t="inlineStr">
        <is>
          <t>prismMemberriskprofile</t>
        </is>
      </c>
      <c r="C28" s="12" t="inlineStr">
        <is>
          <t>Not in repo</t>
        </is>
      </c>
      <c r="D28" s="12" t="inlineStr">
        <is>
          <t>Add source to repo; apply auth + ownership checks</t>
        </is>
      </c>
    </row>
    <row r="29">
      <c r="A29" s="12" t="n">
        <v>25</v>
      </c>
      <c r="B29" s="12" t="inlineStr">
        <is>
          <t>prismOutreachmemberSP</t>
        </is>
      </c>
      <c r="C29" s="12" t="inlineStr">
        <is>
          <t>Not in repo</t>
        </is>
      </c>
      <c r="D29" s="12" t="inlineStr">
        <is>
          <t>Add source to repo; apply auth + ownership checks</t>
        </is>
      </c>
    </row>
    <row r="30">
      <c r="A30" s="12" t="n">
        <v>26</v>
      </c>
      <c r="B30" s="12" t="inlineStr">
        <is>
          <t>prismPlanexist</t>
        </is>
      </c>
      <c r="C30" s="12" t="inlineStr">
        <is>
          <t>Not in repo</t>
        </is>
      </c>
      <c r="D30" s="12" t="inlineStr">
        <is>
          <t>Add source to repo; apply auth + ownership checks</t>
        </is>
      </c>
    </row>
    <row r="31">
      <c r="A31" s="12" t="n">
        <v>27</v>
      </c>
      <c r="B31" s="12" t="inlineStr">
        <is>
          <t>prismUserRequestList</t>
        </is>
      </c>
      <c r="C31" s="12" t="inlineStr">
        <is>
          <t>Not in repo</t>
        </is>
      </c>
      <c r="D31" s="12" t="inlineStr">
        <is>
          <t>Add source to repo; apply auth + ownership checks</t>
        </is>
      </c>
    </row>
    <row r="32">
      <c r="A32" s="12" t="n">
        <v>28</v>
      </c>
      <c r="B32" s="12" t="inlineStr">
        <is>
          <t>prismUsers</t>
        </is>
      </c>
      <c r="C32" s="12" t="inlineStr">
        <is>
          <t>Not in repo</t>
        </is>
      </c>
      <c r="D32" s="12" t="inlineStr">
        <is>
          <t>Add source to repo; apply auth + ownership checks</t>
        </is>
      </c>
    </row>
    <row r="33">
      <c r="A33" s="12" t="n">
        <v>29</v>
      </c>
      <c r="B33" s="12" t="inlineStr">
        <is>
          <t>prismVendorListByplan</t>
        </is>
      </c>
      <c r="C33" s="12" t="inlineStr">
        <is>
          <t>Not in repo</t>
        </is>
      </c>
      <c r="D33" s="12" t="inlineStr">
        <is>
          <t>Add source to repo; apply auth + ownership checks</t>
        </is>
      </c>
    </row>
    <row r="34">
      <c r="A34" s="12" t="n">
        <v>30</v>
      </c>
      <c r="B34" s="12" t="inlineStr">
        <is>
          <t>prismVendorMasterlist</t>
        </is>
      </c>
      <c r="C34" s="12" t="inlineStr">
        <is>
          <t>Not in repo</t>
        </is>
      </c>
      <c r="D34" s="12" t="inlineStr">
        <is>
          <t>Add source to repo; apply auth + ownership checks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55" customWidth="1" min="2" max="2"/>
    <col width="11" customWidth="1" min="3" max="3"/>
    <col width="62" customWidth="1" min="4" max="4"/>
  </cols>
  <sheetData>
    <row r="1">
      <c r="A1" s="10" t="inlineStr">
        <is>
          <t>System-Wide Restriction Checklist</t>
        </is>
      </c>
    </row>
    <row r="2">
      <c r="A2" s="2" t="inlineStr">
        <is>
          <t>Source: docs/VALIDATION_AUDIT.md | audit date 2026-10-03 | branch dev | static code review</t>
        </is>
      </c>
    </row>
    <row r="4">
      <c r="A4" s="11" t="inlineStr">
        <is>
          <t>Area</t>
        </is>
      </c>
      <c r="B4" s="11" t="inlineStr">
        <is>
          <t>Restriction</t>
        </is>
      </c>
      <c r="C4" s="11" t="inlineStr">
        <is>
          <t>Status</t>
        </is>
      </c>
      <c r="D4" s="11" t="inlineStr">
        <is>
          <t>Notes</t>
        </is>
      </c>
    </row>
    <row r="5">
      <c r="A5" s="12" t="inlineStr">
        <is>
          <t>Authentication</t>
        </is>
      </c>
      <c r="B5" s="12" t="inlineStr">
        <is>
          <t>Cognito login + TOTP MFA</t>
        </is>
      </c>
      <c r="C5" s="13" t="inlineStr">
        <is>
          <t>Done</t>
        </is>
      </c>
      <c r="D5" s="12" t="inlineStr"/>
    </row>
    <row r="6">
      <c r="A6" s="12" t="inlineStr">
        <is>
          <t>Authentication</t>
        </is>
      </c>
      <c r="B6" s="12" t="inlineStr">
        <is>
          <t>Cognito authorizer on API Gateway for all routes</t>
        </is>
      </c>
      <c r="C6" s="13" t="inlineStr">
        <is>
          <t>Partial</t>
        </is>
      </c>
      <c r="D6" s="12" t="inlineStr">
        <is>
          <t>Confirmed on some; login-flow routes have none</t>
        </is>
      </c>
    </row>
    <row r="7">
      <c r="A7" s="12" t="inlineStr">
        <is>
          <t>Authentication</t>
        </is>
      </c>
      <c r="B7" s="12" t="inlineStr">
        <is>
          <t>Client secret not in browser</t>
        </is>
      </c>
      <c r="C7" s="13" t="inlineStr">
        <is>
          <t>Missing</t>
        </is>
      </c>
      <c r="D7" s="12" t="inlineStr"/>
    </row>
    <row r="8">
      <c r="A8" s="12" t="inlineStr">
        <is>
          <t>Session</t>
        </is>
      </c>
      <c r="B8" s="12" t="inlineStr">
        <is>
          <t>10-min inactivity logout</t>
        </is>
      </c>
      <c r="C8" s="13" t="inlineStr">
        <is>
          <t>Done</t>
        </is>
      </c>
      <c r="D8" s="12" t="inlineStr"/>
    </row>
    <row r="9">
      <c r="A9" s="12" t="inlineStr">
        <is>
          <t>Session</t>
        </is>
      </c>
      <c r="B9" s="12" t="inlineStr">
        <is>
          <t>Token refresh</t>
        </is>
      </c>
      <c r="C9" s="13" t="inlineStr">
        <is>
          <t>Done</t>
        </is>
      </c>
      <c r="D9" s="12" t="inlineStr"/>
    </row>
    <row r="10">
      <c r="A10" s="12" t="inlineStr">
        <is>
          <t>Session</t>
        </is>
      </c>
      <c r="B10" s="12" t="inlineStr">
        <is>
          <t>Tokens in localStorage (XSS-exposed)</t>
        </is>
      </c>
      <c r="C10" s="13" t="inlineStr">
        <is>
          <t>Partial</t>
        </is>
      </c>
      <c r="D10" s="12" t="inlineStr"/>
    </row>
    <row r="11">
      <c r="A11" s="12" t="inlineStr">
        <is>
          <t>Password</t>
        </is>
      </c>
      <c r="B11" s="12" t="inlineStr">
        <is>
          <t>15+ chars &amp; complexity on server (create / update / reset)</t>
        </is>
      </c>
      <c r="C11" s="13" t="inlineStr">
        <is>
          <t>Done</t>
        </is>
      </c>
      <c r="D11" s="12" t="inlineStr"/>
    </row>
    <row r="12">
      <c r="A12" s="12" t="inlineStr">
        <is>
          <t>Password</t>
        </is>
      </c>
      <c r="B12" s="12" t="inlineStr">
        <is>
          <t>Same policy on client (Add User)</t>
        </is>
      </c>
      <c r="C12" s="13" t="inlineStr">
        <is>
          <t>Missing</t>
        </is>
      </c>
      <c r="D12" s="12" t="inlineStr">
        <is>
          <t>(6 chars)</t>
        </is>
      </c>
    </row>
    <row r="13">
      <c r="A13" s="12" t="inlineStr">
        <is>
          <t>Password</t>
        </is>
      </c>
      <c r="B13" s="12" t="inlineStr">
        <is>
          <t>Expiry warning + expiry</t>
        </is>
      </c>
      <c r="C13" s="13" t="inlineStr">
        <is>
          <t>Partial</t>
        </is>
      </c>
      <c r="D13" s="12" t="inlineStr">
        <is>
          <t>Shown, not enforced</t>
        </is>
      </c>
    </row>
    <row r="14">
      <c r="A14" s="12" t="inlineStr">
        <is>
          <t>Password</t>
        </is>
      </c>
      <c r="B14" s="12" t="inlineStr">
        <is>
          <t>History / no-reuse</t>
        </is>
      </c>
      <c r="C14" s="13" t="inlineStr">
        <is>
          <t>Missing</t>
        </is>
      </c>
      <c r="D14" s="12" t="inlineStr"/>
    </row>
    <row r="15">
      <c r="A15" s="12" t="inlineStr">
        <is>
          <t>Lockout</t>
        </is>
      </c>
      <c r="B15" s="12" t="inlineStr">
        <is>
          <t>Lock after N failures</t>
        </is>
      </c>
      <c r="C15" s="13" t="inlineStr">
        <is>
          <t>Partial</t>
        </is>
      </c>
      <c r="D15" s="12" t="inlineStr">
        <is>
          <t>Client-driven; reset endpoint is open</t>
        </is>
      </c>
    </row>
    <row r="16">
      <c r="A16" s="12" t="inlineStr">
        <is>
          <t>Lockout</t>
        </is>
      </c>
      <c r="B16" s="12" t="inlineStr">
        <is>
          <t>Admin unlock with note</t>
        </is>
      </c>
      <c r="C16" s="13" t="inlineStr">
        <is>
          <t>Done</t>
        </is>
      </c>
      <c r="D16" s="12" t="inlineStr"/>
    </row>
    <row r="17">
      <c r="A17" s="12" t="inlineStr">
        <is>
          <t>Authorization</t>
        </is>
      </c>
      <c r="B17" s="12" t="inlineStr">
        <is>
          <t>Role-based menu</t>
        </is>
      </c>
      <c r="C17" s="13" t="inlineStr">
        <is>
          <t>Done</t>
        </is>
      </c>
      <c r="D17" s="12" t="inlineStr">
        <is>
          <t>(UI only)</t>
        </is>
      </c>
    </row>
    <row r="18">
      <c r="A18" s="12" t="inlineStr">
        <is>
          <t>Authorization</t>
        </is>
      </c>
      <c r="B18" s="12" t="inlineStr">
        <is>
          <t>Route guards</t>
        </is>
      </c>
      <c r="C18" s="13" t="inlineStr">
        <is>
          <t>Missing</t>
        </is>
      </c>
      <c r="D18" s="12" t="inlineStr"/>
    </row>
    <row r="19">
      <c r="A19" s="12" t="inlineStr">
        <is>
          <t>Authorization</t>
        </is>
      </c>
      <c r="B19" s="12" t="inlineStr">
        <is>
          <t>Server role checks</t>
        </is>
      </c>
      <c r="C19" s="13" t="inlineStr">
        <is>
          <t>Partial</t>
        </is>
      </c>
      <c r="D19" s="12" t="inlineStr">
        <is>
          <t>Done on ~60% of the Lambdas in the repo; missing on the generic update/insert and user/password endpoints</t>
        </is>
      </c>
    </row>
    <row r="20">
      <c r="A20" s="12" t="inlineStr">
        <is>
          <t>Authorization</t>
        </is>
      </c>
      <c r="B20" s="12" t="inlineStr">
        <is>
          <t>Member ownership (navigator sees only own members)</t>
        </is>
      </c>
      <c r="C20" s="13" t="inlineStr">
        <is>
          <t>Partial</t>
        </is>
      </c>
      <c r="D20" s="12" t="inlineStr">
        <is>
          <t>Done on reads; bypassable through P1 #2; missing on member-level inserts</t>
        </is>
      </c>
    </row>
    <row r="21">
      <c r="A21" s="12" t="inlineStr">
        <is>
          <t>Data input</t>
        </is>
      </c>
      <c r="B21" s="12" t="inlineStr">
        <is>
          <t>SQL parameterisation</t>
        </is>
      </c>
      <c r="C21" s="13" t="inlineStr">
        <is>
          <t>Done</t>
        </is>
      </c>
      <c r="D21" s="12" t="inlineStr">
        <is>
          <t>Everywhere reviewed</t>
        </is>
      </c>
    </row>
    <row r="22">
      <c r="A22" s="12" t="inlineStr">
        <is>
          <t>Data input</t>
        </is>
      </c>
      <c r="B22" s="12" t="inlineStr">
        <is>
          <t>Table / id-column allow-lists</t>
        </is>
      </c>
      <c r="C22" s="13" t="inlineStr">
        <is>
          <t>Done</t>
        </is>
      </c>
      <c r="D22" s="12" t="inlineStr"/>
    </row>
    <row r="23">
      <c r="A23" s="12" t="inlineStr">
        <is>
          <t>Data input</t>
        </is>
      </c>
      <c r="B23" s="12" t="inlineStr">
        <is>
          <t>Column allow-lists</t>
        </is>
      </c>
      <c r="C23" s="13" t="inlineStr">
        <is>
          <t>Missing</t>
        </is>
      </c>
      <c r="D23" s="12" t="inlineStr"/>
    </row>
    <row r="24">
      <c r="A24" s="12" t="inlineStr">
        <is>
          <t>Data input</t>
        </is>
      </c>
      <c r="B24" s="12" t="inlineStr">
        <is>
          <t>Format checks (phone / zip / email / NPI / codes / dates) on server</t>
        </is>
      </c>
      <c r="C24" s="13" t="inlineStr">
        <is>
          <t>Missing</t>
        </is>
      </c>
      <c r="D24" s="12" t="inlineStr">
        <is>
          <t>Mostly missing</t>
        </is>
      </c>
    </row>
    <row r="25">
      <c r="A25" s="12" t="inlineStr">
        <is>
          <t>Data input</t>
        </is>
      </c>
      <c r="B25" s="12" t="inlineStr">
        <is>
          <t>Length limits on server</t>
        </is>
      </c>
      <c r="C25" s="13" t="inlineStr">
        <is>
          <t>Partial</t>
        </is>
      </c>
      <c r="D25" s="12" t="inlineStr">
        <is>
          <t>Users only</t>
        </is>
      </c>
    </row>
    <row r="26">
      <c r="A26" s="12" t="inlineStr">
        <is>
          <t>Files</t>
        </is>
      </c>
      <c r="B26" s="12" t="inlineStr">
        <is>
          <t>Upload: safe filename, fixed bucket, owner check</t>
        </is>
      </c>
      <c r="C26" s="13" t="inlineStr">
        <is>
          <t>Done</t>
        </is>
      </c>
      <c r="D26" s="12" t="inlineStr"/>
    </row>
    <row r="27">
      <c r="A27" s="12" t="inlineStr">
        <is>
          <t>Files</t>
        </is>
      </c>
      <c r="B27" s="12" t="inlineStr">
        <is>
          <t>Upload: type / size limits</t>
        </is>
      </c>
      <c r="C27" s="13" t="inlineStr">
        <is>
          <t>Missing</t>
        </is>
      </c>
      <c r="D27" s="12" t="inlineStr"/>
    </row>
    <row r="28">
      <c r="A28" s="12" t="inlineStr">
        <is>
          <t>Files</t>
        </is>
      </c>
      <c r="B28" s="12" t="inlineStr">
        <is>
          <t>Delete: auth / owner</t>
        </is>
      </c>
      <c r="C28" s="13" t="inlineStr">
        <is>
          <t>Missing</t>
        </is>
      </c>
      <c r="D28" s="12" t="inlineStr"/>
    </row>
    <row r="29">
      <c r="A29" s="12" t="inlineStr">
        <is>
          <t>Files</t>
        </is>
      </c>
      <c r="B29" s="12" t="inlineStr">
        <is>
          <t>CSV import: header check</t>
        </is>
      </c>
      <c r="C29" s="13" t="inlineStr">
        <is>
          <t>Done</t>
        </is>
      </c>
      <c r="D29" s="12" t="inlineStr">
        <is>
          <t>(4 of 5)</t>
        </is>
      </c>
    </row>
    <row r="30">
      <c r="A30" s="12" t="inlineStr">
        <is>
          <t>Files</t>
        </is>
      </c>
      <c r="B30" s="12" t="inlineStr">
        <is>
          <t>CSV import: row validation / size limit</t>
        </is>
      </c>
      <c r="C30" s="13" t="inlineStr">
        <is>
          <t>Missing</t>
        </is>
      </c>
      <c r="D30" s="12" t="inlineStr"/>
    </row>
    <row r="31">
      <c r="A31" s="12" t="inlineStr">
        <is>
          <t>Output</t>
        </is>
      </c>
      <c r="B31" s="12" t="inlineStr">
        <is>
          <t>Angular auto-escaping</t>
        </is>
      </c>
      <c r="C31" s="13" t="inlineStr">
        <is>
          <t>Done</t>
        </is>
      </c>
      <c r="D31" s="12" t="inlineStr"/>
    </row>
    <row r="32">
      <c r="A32" s="12" t="inlineStr">
        <is>
          <t>Output</t>
        </is>
      </c>
      <c r="B32" s="12" t="inlineStr">
        <is>
          <t>bypassSecurityTrustHtml with raw data</t>
        </is>
      </c>
      <c r="C32" s="13" t="inlineStr">
        <is>
          <t>Missing</t>
        </is>
      </c>
      <c r="D32" s="12" t="inlineStr">
        <is>
          <t>Call list (XSS)</t>
        </is>
      </c>
    </row>
    <row r="33">
      <c r="A33" s="12" t="inlineStr">
        <is>
          <t>Output</t>
        </is>
      </c>
      <c r="B33" s="12" t="inlineStr">
        <is>
          <t>CSV export injection escaping</t>
        </is>
      </c>
      <c r="C33" s="13" t="inlineStr">
        <is>
          <t>Missing</t>
        </is>
      </c>
      <c r="D33" s="12" t="inlineStr"/>
    </row>
    <row r="34">
      <c r="A34" s="12" t="inlineStr">
        <is>
          <t>Errors</t>
        </is>
      </c>
      <c r="B34" s="12" t="inlineStr">
        <is>
          <t>Generic 500s, no SQL leak</t>
        </is>
      </c>
      <c r="C34" s="13" t="inlineStr">
        <is>
          <t>Done</t>
        </is>
      </c>
      <c r="D34" s="12" t="inlineStr">
        <is>
          <t>Mostly (prismLockedCognitoUser echoes error.message)</t>
        </is>
      </c>
    </row>
    <row r="35">
      <c r="A35" s="12" t="inlineStr">
        <is>
          <t>Audit</t>
        </is>
      </c>
      <c r="B35" s="12" t="inlineStr">
        <is>
          <t>System log written for key actions</t>
        </is>
      </c>
      <c r="C35" s="13" t="inlineStr">
        <is>
          <t>Done</t>
        </is>
      </c>
      <c r="D35" s="12" t="inlineStr"/>
    </row>
    <row r="36">
      <c r="A36" s="12" t="inlineStr">
        <is>
          <t>Audit</t>
        </is>
      </c>
      <c r="B36" s="12" t="inlineStr">
        <is>
          <t>Audit identity set server-side</t>
        </is>
      </c>
      <c r="C36" s="13" t="inlineStr">
        <is>
          <t>Missing</t>
        </is>
      </c>
      <c r="D36" s="12" t="inlineStr"/>
    </row>
    <row r="37">
      <c r="A37" s="12" t="inlineStr">
        <is>
          <t>CORS</t>
        </is>
      </c>
      <c r="B37" s="12" t="inlineStr">
        <is>
          <t>Origin allow-list</t>
        </is>
      </c>
      <c r="C37" s="13" t="inlineStr">
        <is>
          <t>Partial</t>
        </is>
      </c>
      <c r="D37" s="12" t="inlineStr">
        <is>
          <t>Upload Lambda falls back to http://localhost:4200; others depend on the shared responseHelper layer (not in repo)</t>
        </is>
      </c>
    </row>
  </sheetData>
  <conditionalFormatting sqref="C5:C37">
    <cfRule type="cellIs" priority="1" operator="equal" dxfId="0">
      <formula>"Done"</formula>
    </cfRule>
    <cfRule type="cellIs" priority="2" operator="equal" dxfId="1">
      <formula>"Partial"</formula>
    </cfRule>
    <cfRule type="cellIs" priority="3" operator="equal" dxfId="2">
      <formula>"Missing"</formula>
    </cfRule>
    <cfRule type="cellIs" priority="4" operator="equal" dxfId="3">
      <formula>"Unknown"</formula>
    </cfRule>
  </conditionalFormatting>
  <dataValidations count="1">
    <dataValidation sqref="C5:C37" showDropDown="0" showInputMessage="0" showErrorMessage="0" allowBlank="1" type="list">
      <formula1>"Done,Partial,Missing,Unknown"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18" customWidth="1" min="2" max="2"/>
    <col width="100" customWidth="1" min="3" max="3"/>
    <col width="12" customWidth="1" min="4" max="4"/>
  </cols>
  <sheetData>
    <row r="1">
      <c r="A1" s="10" t="inlineStr">
        <is>
          <t>Suggested Fix Order</t>
        </is>
      </c>
    </row>
    <row r="2">
      <c r="A2" s="2" t="inlineStr">
        <is>
          <t>Source: docs/VALIDATION_AUDIT.md | audit date 2026-10-03 | branch dev | static code review</t>
        </is>
      </c>
    </row>
    <row r="4">
      <c r="A4" s="11" t="inlineStr">
        <is>
          <t>Step</t>
        </is>
      </c>
      <c r="B4" s="11" t="inlineStr">
        <is>
          <t>Scope</t>
        </is>
      </c>
      <c r="C4" s="11" t="inlineStr">
        <is>
          <t>Action</t>
        </is>
      </c>
      <c r="D4" s="11" t="inlineStr">
        <is>
          <t>Status</t>
        </is>
      </c>
    </row>
    <row r="5">
      <c r="A5" s="12" t="n">
        <v>1</v>
      </c>
      <c r="B5" s="12" t="inlineStr">
        <is>
          <t>P1 #1–#8, #13</t>
        </is>
      </c>
      <c r="C5" s="12" t="inlineStr">
        <is>
          <t>add the existing callerSub -&gt; MEM_USERS -&gt; role/ownership block (already used in prismUpdateUser.js) to every Lambda listed.</t>
        </is>
      </c>
      <c r="D5" s="12" t="inlineStr">
        <is>
          <t>Open</t>
        </is>
      </c>
    </row>
    <row r="6">
      <c r="A6" s="12" t="n">
        <v>2</v>
      </c>
      <c r="B6" s="12" t="inlineStr">
        <is>
          <t>P1 #9</t>
        </is>
      </c>
      <c r="C6" s="12" t="inlineStr">
        <is>
          <t>escape fields in calllist-dialog.service.ts (reuse escapeHtml from benefits-dialog.service.ts).</t>
        </is>
      </c>
      <c r="D6" s="12" t="inlineStr">
        <is>
          <t>Open</t>
        </is>
      </c>
    </row>
    <row r="7">
      <c r="A7" s="12" t="n">
        <v>3</v>
      </c>
      <c r="B7" s="12" t="inlineStr">
        <is>
          <t>P1 #10–#12</t>
        </is>
      </c>
      <c r="C7" s="12" t="inlineStr">
        <is>
          <t>remove the client secret (public app client), add authGuard + roleGuard on routes, and block the session when the password has expired.</t>
        </is>
      </c>
      <c r="D7" s="12" t="inlineStr">
        <is>
          <t>Open</t>
        </is>
      </c>
    </row>
    <row r="8">
      <c r="A8" s="12" t="n">
        <v>4</v>
      </c>
      <c r="B8" s="12" t="inlineStr">
        <is>
          <t>P1 #14</t>
        </is>
      </c>
      <c r="C8" s="12" t="inlineStr">
        <is>
          <t>set added_by / log_by / refer_by from the caller on the server; add per-table column allow-lists.</t>
        </is>
      </c>
      <c r="D8" s="12" t="inlineStr">
        <is>
          <t>Open</t>
        </is>
      </c>
    </row>
    <row r="9">
      <c r="A9" s="12" t="n">
        <v>5</v>
      </c>
      <c r="B9" s="12" t="inlineStr">
        <is>
          <t>P2</t>
        </is>
      </c>
      <c r="C9" s="12" t="inlineStr">
        <is>
          <t>align the client password validator, phone/zip/NPI/date validators, file type/size limits, CSV row validation, next-activity date rule.</t>
        </is>
      </c>
      <c r="D9" s="12" t="inlineStr">
        <is>
          <t>Open</t>
        </is>
      </c>
    </row>
    <row r="10">
      <c r="A10" s="12" t="n">
        <v>6</v>
      </c>
      <c r="B10" s="12" t="inlineStr">
        <is>
          <t>P3</t>
        </is>
      </c>
      <c r="C10" s="12" t="inlineStr">
        <is>
          <t>duplicate checks, length limits, user-visible error messages, CSV export escaping, remove console.log.</t>
        </is>
      </c>
      <c r="D10" s="12" t="inlineStr">
        <is>
          <t>Open</t>
        </is>
      </c>
    </row>
  </sheetData>
  <dataValidations count="1">
    <dataValidation sqref="D5:D10" showDropDown="0" showInputMessage="0" showErrorMessage="0" allowBlank="1" type="list">
      <formula1>"Open,In progress,Fixed"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2026-10-03T13:35:28Z</dcterms:created>
  <dcterms:modified xsi:type="dcterms:W3CDTF">2026-10-03T13:35:46Z</dcterms:modified>
</cp:coreProperties>
</file>